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placi\OneDrive\Documents\My portfolios\Project1-Excel dashboard\"/>
    </mc:Choice>
  </mc:AlternateContent>
  <xr:revisionPtr revIDLastSave="0" documentId="13_ncr:1_{CFAACA9F-53A6-4481-8C6A-5EFC6CF58D8E}" xr6:coauthVersionLast="47" xr6:coauthVersionMax="47" xr10:uidLastSave="{00000000-0000-0000-0000-000000000000}"/>
  <bookViews>
    <workbookView xWindow="28680" yWindow="2835" windowWidth="29040" windowHeight="15840" activeTab="1" xr2:uid="{00000000-000D-0000-FFFF-FFFF00000000}"/>
  </bookViews>
  <sheets>
    <sheet name="Brand New Mobile Details Data" sheetId="1" r:id="rId1"/>
    <sheet name="Dashboard" sheetId="2" r:id="rId2"/>
  </sheets>
  <definedNames>
    <definedName name="Slicer_Location">#N/A</definedName>
    <definedName name="Slicer_Month">#N/A</definedName>
    <definedName name="Slicer_Payment_Type">#N/A</definedName>
    <definedName name="Slicer_Year">#N/A</definedName>
  </definedNames>
  <calcPr calcId="191029"/>
  <pivotCaches>
    <pivotCache cacheId="0" r:id="rId3"/>
    <pivotCache cacheId="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D49" i="1"/>
  <c r="D296" i="1"/>
  <c r="D25" i="1"/>
  <c r="D143" i="1"/>
  <c r="D82" i="1"/>
  <c r="D264" i="1"/>
  <c r="D234" i="1"/>
  <c r="D198" i="1"/>
  <c r="D72" i="1"/>
  <c r="D285" i="1"/>
  <c r="D10" i="1"/>
  <c r="D69" i="1"/>
  <c r="D128" i="1"/>
  <c r="D70" i="1"/>
  <c r="D42" i="1"/>
  <c r="D110" i="1"/>
  <c r="D93" i="1"/>
  <c r="D164" i="1"/>
  <c r="D91" i="1"/>
  <c r="D201" i="1"/>
  <c r="D214" i="1"/>
  <c r="D129" i="1"/>
  <c r="D104" i="1"/>
  <c r="D50" i="1"/>
  <c r="D94" i="1"/>
  <c r="D47" i="1"/>
  <c r="D37" i="1"/>
  <c r="D111" i="1"/>
  <c r="D284" i="1"/>
  <c r="D107" i="1"/>
  <c r="D215" i="1"/>
  <c r="D286" i="1"/>
  <c r="D241" i="1"/>
  <c r="D64" i="1"/>
  <c r="D179" i="1"/>
  <c r="D189" i="1"/>
  <c r="D166" i="1"/>
  <c r="D74" i="1"/>
  <c r="D58" i="1"/>
  <c r="D123" i="1"/>
  <c r="D263" i="1"/>
  <c r="D169" i="1"/>
  <c r="D247" i="1"/>
  <c r="D170" i="1"/>
  <c r="D13" i="1"/>
  <c r="D97" i="1"/>
  <c r="D193" i="1"/>
  <c r="D248" i="1"/>
  <c r="D152" i="1"/>
  <c r="D291" i="1"/>
  <c r="D141" i="1"/>
  <c r="D222" i="1"/>
  <c r="D127" i="1"/>
  <c r="D96" i="1"/>
  <c r="D142" i="1"/>
  <c r="D98" i="1"/>
  <c r="D117" i="1"/>
  <c r="D293" i="1"/>
  <c r="D226" i="1"/>
  <c r="D218" i="1"/>
  <c r="D48" i="1"/>
  <c r="D65" i="1"/>
  <c r="D240" i="1"/>
  <c r="D176" i="1"/>
  <c r="D297" i="1"/>
  <c r="D155" i="1"/>
  <c r="D83" i="1"/>
  <c r="D160" i="1"/>
  <c r="D112" i="1"/>
  <c r="D35" i="1"/>
  <c r="D118" i="1"/>
  <c r="D269" i="1"/>
  <c r="D89" i="1"/>
  <c r="D272" i="1"/>
  <c r="D12" i="1"/>
  <c r="D206" i="1"/>
  <c r="D254" i="1"/>
  <c r="D171" i="1"/>
  <c r="D167" i="1"/>
  <c r="D221" i="1"/>
  <c r="D148" i="1"/>
  <c r="D177" i="1"/>
  <c r="D300" i="1"/>
  <c r="D183" i="1"/>
  <c r="D149" i="1"/>
  <c r="D219" i="1"/>
  <c r="D294" i="1"/>
  <c r="D236" i="1"/>
  <c r="D267" i="1"/>
  <c r="D60" i="1"/>
  <c r="D229" i="1"/>
  <c r="D194" i="1"/>
  <c r="D230" i="1"/>
  <c r="D213" i="1"/>
  <c r="D174" i="1"/>
  <c r="D146" i="1"/>
  <c r="D200" i="1"/>
  <c r="D281" i="1"/>
  <c r="D255" i="1"/>
  <c r="D161" i="1"/>
  <c r="D136" i="1"/>
  <c r="D36" i="1"/>
  <c r="D57" i="1"/>
  <c r="D144" i="1"/>
  <c r="D256" i="1"/>
  <c r="D180" i="1"/>
  <c r="D277" i="1"/>
  <c r="D124" i="1"/>
  <c r="D265" i="1"/>
  <c r="D100" i="1"/>
  <c r="D137" i="1"/>
  <c r="D243" i="1"/>
  <c r="D2" i="1"/>
  <c r="D21" i="1"/>
  <c r="D231" i="1"/>
  <c r="D51" i="1"/>
  <c r="D282" i="1"/>
  <c r="D11" i="1"/>
  <c r="D145" i="1"/>
  <c r="D46" i="1"/>
  <c r="D235" i="1"/>
  <c r="D251" i="1"/>
  <c r="D159" i="1"/>
  <c r="D27" i="1"/>
  <c r="D77" i="1"/>
  <c r="D195" i="1"/>
  <c r="D113" i="1"/>
  <c r="D28" i="1"/>
  <c r="D190" i="1"/>
  <c r="D165" i="1"/>
  <c r="D288" i="1"/>
  <c r="D262" i="1"/>
  <c r="D225" i="1"/>
  <c r="D44" i="1"/>
  <c r="D182" i="1"/>
  <c r="D138" i="1"/>
  <c r="D232" i="1"/>
  <c r="D178" i="1"/>
  <c r="D259" i="1"/>
  <c r="D130" i="1"/>
  <c r="D66" i="1"/>
  <c r="D156" i="1"/>
  <c r="D261" i="1"/>
  <c r="D184" i="1"/>
  <c r="D185" i="1"/>
  <c r="D150" i="1"/>
  <c r="D24" i="1"/>
  <c r="D101" i="1"/>
  <c r="D102" i="1"/>
  <c r="D81" i="1"/>
  <c r="D209" i="1"/>
  <c r="D121" i="1"/>
  <c r="D86" i="1"/>
  <c r="D253" i="1"/>
  <c r="D15" i="1"/>
  <c r="D217" i="1"/>
  <c r="D55" i="1"/>
  <c r="D8" i="1"/>
  <c r="D20" i="1"/>
  <c r="D133" i="1"/>
  <c r="D301" i="1"/>
  <c r="D266" i="1"/>
  <c r="D131" i="1"/>
  <c r="D268" i="1"/>
  <c r="D122" i="1"/>
  <c r="D203" i="1"/>
  <c r="D238" i="1"/>
  <c r="D16" i="1"/>
  <c r="D67" i="1"/>
  <c r="D249" i="1"/>
  <c r="D139" i="1"/>
  <c r="D168" i="1"/>
  <c r="D257" i="1"/>
  <c r="D274" i="1"/>
  <c r="D210" i="1"/>
  <c r="D289" i="1"/>
  <c r="D7" i="1"/>
  <c r="D258" i="1"/>
  <c r="D33" i="1"/>
  <c r="D119" i="1"/>
  <c r="D298" i="1"/>
  <c r="D223" i="1"/>
  <c r="D273" i="1"/>
  <c r="D30" i="1"/>
  <c r="D75" i="1"/>
  <c r="D17" i="1"/>
  <c r="D31" i="1"/>
  <c r="D85" i="1"/>
  <c r="D62" i="1"/>
  <c r="D246" i="1"/>
  <c r="D45" i="1"/>
  <c r="D245" i="1"/>
  <c r="D173" i="1"/>
  <c r="D280" i="1"/>
  <c r="D151" i="1"/>
  <c r="D19" i="1"/>
  <c r="D292" i="1"/>
  <c r="D290" i="1"/>
  <c r="D196" i="1"/>
  <c r="D78" i="1"/>
  <c r="D270" i="1"/>
  <c r="D287" i="1"/>
  <c r="D208" i="1"/>
  <c r="D14" i="1"/>
  <c r="D59" i="1"/>
  <c r="D271" i="1"/>
  <c r="D244" i="1"/>
  <c r="D126" i="1"/>
  <c r="D103" i="1"/>
  <c r="D63" i="1"/>
  <c r="D192" i="1"/>
  <c r="D276" i="1"/>
  <c r="D80" i="1"/>
  <c r="D114" i="1"/>
  <c r="D53" i="1"/>
  <c r="D252" i="1"/>
  <c r="D92" i="1"/>
  <c r="D157" i="1"/>
  <c r="D41" i="1"/>
  <c r="D212" i="1"/>
  <c r="D68" i="1"/>
  <c r="D140" i="1"/>
  <c r="D88" i="1"/>
  <c r="D227" i="1"/>
  <c r="D6" i="1"/>
  <c r="D3" i="1"/>
  <c r="D34" i="1"/>
  <c r="D61" i="1"/>
  <c r="D153" i="1"/>
  <c r="D283" i="1"/>
  <c r="D38" i="1"/>
  <c r="D278" i="1"/>
  <c r="D181" i="1"/>
  <c r="D188" i="1"/>
  <c r="D90" i="1"/>
  <c r="D299" i="1"/>
  <c r="D4" i="1"/>
  <c r="D134" i="1"/>
  <c r="D191" i="1"/>
  <c r="D9" i="1"/>
  <c r="D32" i="1"/>
  <c r="D5" i="1"/>
  <c r="D39" i="1"/>
  <c r="D105" i="1"/>
  <c r="D158" i="1"/>
  <c r="D211" i="1"/>
  <c r="D186" i="1"/>
  <c r="D250" i="1"/>
  <c r="D108" i="1"/>
  <c r="D29" i="1"/>
  <c r="D73" i="1"/>
  <c r="D237" i="1"/>
  <c r="D207" i="1"/>
  <c r="D125" i="1"/>
  <c r="D76" i="1"/>
  <c r="D40" i="1"/>
  <c r="D26" i="1"/>
  <c r="D172" i="1"/>
  <c r="D228" i="1"/>
  <c r="D204" i="1"/>
  <c r="D106" i="1"/>
  <c r="D275" i="1"/>
  <c r="D154" i="1"/>
  <c r="D197" i="1"/>
  <c r="D115" i="1"/>
  <c r="D87" i="1"/>
  <c r="D84" i="1"/>
  <c r="D205" i="1"/>
  <c r="D109" i="1"/>
  <c r="D120" i="1"/>
  <c r="D162" i="1"/>
  <c r="D43" i="1"/>
  <c r="D54" i="1"/>
  <c r="D116" i="1"/>
  <c r="D95" i="1"/>
  <c r="D233" i="1"/>
  <c r="D279" i="1"/>
  <c r="D22" i="1"/>
  <c r="D260" i="1"/>
  <c r="D239" i="1"/>
  <c r="D99" i="1"/>
  <c r="D202" i="1"/>
  <c r="D224" i="1"/>
  <c r="D295" i="1"/>
  <c r="D242" i="1"/>
  <c r="D18" i="1"/>
  <c r="D79" i="1"/>
  <c r="D199" i="1"/>
  <c r="D163" i="1"/>
  <c r="D147" i="1"/>
  <c r="D175" i="1"/>
  <c r="D220" i="1"/>
  <c r="D71" i="1"/>
  <c r="D187" i="1"/>
  <c r="D132" i="1"/>
  <c r="D52" i="1"/>
  <c r="D216" i="1"/>
  <c r="D56" i="1"/>
  <c r="D23" i="1"/>
  <c r="D135" i="1"/>
</calcChain>
</file>

<file path=xl/sharedStrings.xml><?xml version="1.0" encoding="utf-8"?>
<sst xmlns="http://schemas.openxmlformats.org/spreadsheetml/2006/main" count="1325" uniqueCount="91">
  <si>
    <t>Date</t>
  </si>
  <si>
    <t>Service</t>
  </si>
  <si>
    <t>Price</t>
  </si>
  <si>
    <t>Location</t>
  </si>
  <si>
    <t>Payment Type</t>
  </si>
  <si>
    <t>Patrick Lane</t>
  </si>
  <si>
    <t>Full Detail</t>
  </si>
  <si>
    <t>Englewood</t>
  </si>
  <si>
    <t>Mobile Pay</t>
  </si>
  <si>
    <t>Chloe Parker</t>
  </si>
  <si>
    <t>Exterior Wash</t>
  </si>
  <si>
    <t>Port Charlotte</t>
  </si>
  <si>
    <t>Card</t>
  </si>
  <si>
    <t>Sofia Ramirez</t>
  </si>
  <si>
    <t>Interior Detail</t>
  </si>
  <si>
    <t>Venice</t>
  </si>
  <si>
    <t>Cash</t>
  </si>
  <si>
    <t>Nora Evans</t>
  </si>
  <si>
    <t>Headlight Restoration</t>
  </si>
  <si>
    <t>North Port</t>
  </si>
  <si>
    <t>Harper Cole</t>
  </si>
  <si>
    <t>Sarasota</t>
  </si>
  <si>
    <t>Aubrey Kelly</t>
  </si>
  <si>
    <t>Amelia Rivera</t>
  </si>
  <si>
    <t>Lucas Young</t>
  </si>
  <si>
    <t>Oliver Adams</t>
  </si>
  <si>
    <t>Charlotte Turner</t>
  </si>
  <si>
    <t>Liam Carter</t>
  </si>
  <si>
    <t>Engine Bay Cleaning</t>
  </si>
  <si>
    <t>Anthony Davis</t>
  </si>
  <si>
    <t>Lucas Wright</t>
  </si>
  <si>
    <t>Evelyn Reed</t>
  </si>
  <si>
    <t>Henry Scott</t>
  </si>
  <si>
    <t>Kevin Moss</t>
  </si>
  <si>
    <t>Emma White</t>
  </si>
  <si>
    <t>Emily Clark</t>
  </si>
  <si>
    <t>Logan Parker</t>
  </si>
  <si>
    <t>James Miller</t>
  </si>
  <si>
    <t>Jacob Reed</t>
  </si>
  <si>
    <t>George Grant</t>
  </si>
  <si>
    <t>Eddie Jordan</t>
  </si>
  <si>
    <t>Michael Brown</t>
  </si>
  <si>
    <t>Selena Ward</t>
  </si>
  <si>
    <t>Isabella Scott</t>
  </si>
  <si>
    <t>Victor Stone</t>
  </si>
  <si>
    <t>Carter James</t>
  </si>
  <si>
    <t>Jackson Moore</t>
  </si>
  <si>
    <t>Maria Lopez</t>
  </si>
  <si>
    <t>Mason Collins</t>
  </si>
  <si>
    <t>Grace Reed</t>
  </si>
  <si>
    <t>Ella Watson</t>
  </si>
  <si>
    <t>Mason Price</t>
  </si>
  <si>
    <t>Brian King</t>
  </si>
  <si>
    <t>Elijah Brooks</t>
  </si>
  <si>
    <t>Samuel Ross</t>
  </si>
  <si>
    <t>Ava Mitchell</t>
  </si>
  <si>
    <t>Alex Knight</t>
  </si>
  <si>
    <t>Ethan Hughes</t>
  </si>
  <si>
    <t>Danny Wilson</t>
  </si>
  <si>
    <t>Sophia Martinez</t>
  </si>
  <si>
    <t>Mia Foster</t>
  </si>
  <si>
    <t>Olivia Green</t>
  </si>
  <si>
    <t>Sarah Lee</t>
  </si>
  <si>
    <t>Noah Johnson</t>
  </si>
  <si>
    <t>John Doe</t>
  </si>
  <si>
    <t>Laura Hill</t>
  </si>
  <si>
    <t>Clean Customer Name</t>
  </si>
  <si>
    <t>Month</t>
  </si>
  <si>
    <t>Year</t>
  </si>
  <si>
    <t>Weekday</t>
  </si>
  <si>
    <t>Row Labels</t>
  </si>
  <si>
    <t>Jan</t>
  </si>
  <si>
    <t>Feb</t>
  </si>
  <si>
    <t>Mar</t>
  </si>
  <si>
    <t>Apr</t>
  </si>
  <si>
    <t>May</t>
  </si>
  <si>
    <t>Jun</t>
  </si>
  <si>
    <t>Jul</t>
  </si>
  <si>
    <t>Aug</t>
  </si>
  <si>
    <t>Sep</t>
  </si>
  <si>
    <t>Oct</t>
  </si>
  <si>
    <t>Nov</t>
  </si>
  <si>
    <t>Dec</t>
  </si>
  <si>
    <t>Grand Total</t>
  </si>
  <si>
    <t>Sum of Price</t>
  </si>
  <si>
    <t xml:space="preserve">Brand New Mobile Detail </t>
  </si>
  <si>
    <t>2025 Analytics  Dashboard</t>
  </si>
  <si>
    <t>Count of Payment Type</t>
  </si>
  <si>
    <t>Count of Service</t>
  </si>
  <si>
    <t>Average of Price2</t>
  </si>
  <si>
    <t>Count of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</si>
</sst>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409]mmmm\ d\,\ yyyy;@"/>
    <numFmt numFmtId="166" formatCode="&quot;$&quot;#,##0.00"/>
  </numFmts>
  <fonts count="8" x14ac:knownFonts="1">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0"/>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8">
    <border>
      <left/>
      <right/>
      <top/>
      <bottom/>
      <diagonal/>
    </border>
    <border>
      <left/>
      <right/>
      <top/>
      <bottom style="thick">
        <color theme="4"/>
      </bottom>
      <diagonal/>
    </border>
    <border>
      <left/>
      <right/>
      <top/>
      <bottom style="thick">
        <color theme="4" tint="0.499984740745262"/>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4">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cellStyleXfs>
  <cellXfs count="36">
    <xf numFmtId="0" fontId="0" fillId="0" borderId="0" xfId="0"/>
    <xf numFmtId="164" fontId="0" fillId="0" borderId="0" xfId="0" applyNumberFormat="1"/>
    <xf numFmtId="166" fontId="0" fillId="0" borderId="0" xfId="0" applyNumberFormat="1"/>
    <xf numFmtId="0" fontId="0" fillId="4" borderId="3" xfId="0" applyFill="1" applyBorder="1"/>
    <xf numFmtId="0" fontId="4" fillId="2" borderId="4" xfId="0" applyFont="1" applyFill="1" applyBorder="1"/>
    <xf numFmtId="0" fontId="0" fillId="3" borderId="6" xfId="0" applyFill="1" applyBorder="1"/>
    <xf numFmtId="166" fontId="0" fillId="3" borderId="6" xfId="0" applyNumberFormat="1" applyFill="1" applyBorder="1"/>
    <xf numFmtId="166" fontId="0" fillId="4" borderId="3" xfId="0" applyNumberFormat="1" applyFill="1" applyBorder="1"/>
    <xf numFmtId="0" fontId="0" fillId="3" borderId="3" xfId="0" applyFill="1" applyBorder="1"/>
    <xf numFmtId="166" fontId="0" fillId="3" borderId="3" xfId="0" applyNumberFormat="1" applyFill="1" applyBorder="1"/>
    <xf numFmtId="2" fontId="4" fillId="2" borderId="0" xfId="0" applyNumberFormat="1" applyFont="1" applyFill="1"/>
    <xf numFmtId="2" fontId="0" fillId="0" borderId="0" xfId="0" applyNumberFormat="1"/>
    <xf numFmtId="14" fontId="0" fillId="4" borderId="7" xfId="0" applyNumberFormat="1" applyFill="1" applyBorder="1"/>
    <xf numFmtId="14" fontId="0" fillId="3" borderId="5" xfId="0" applyNumberFormat="1" applyFill="1" applyBorder="1"/>
    <xf numFmtId="14" fontId="0" fillId="3" borderId="7" xfId="0" applyNumberFormat="1" applyFill="1" applyBorder="1"/>
    <xf numFmtId="0" fontId="0" fillId="0" borderId="0" xfId="0" pivotButton="1"/>
    <xf numFmtId="0" fontId="0" fillId="0" borderId="0" xfId="0" applyAlignment="1">
      <alignment horizontal="left"/>
    </xf>
    <xf numFmtId="2" fontId="4" fillId="2" borderId="4" xfId="0" applyNumberFormat="1" applyFont="1" applyFill="1" applyBorder="1"/>
    <xf numFmtId="164" fontId="4" fillId="2" borderId="4" xfId="0" applyNumberFormat="1" applyFont="1" applyFill="1" applyBorder="1"/>
    <xf numFmtId="14" fontId="0" fillId="3" borderId="6" xfId="0" applyNumberFormat="1" applyFill="1" applyBorder="1"/>
    <xf numFmtId="165" fontId="0" fillId="3" borderId="6" xfId="0" applyNumberFormat="1" applyFill="1" applyBorder="1"/>
    <xf numFmtId="14" fontId="0" fillId="4" borderId="3" xfId="0" applyNumberFormat="1" applyFill="1" applyBorder="1"/>
    <xf numFmtId="165" fontId="0" fillId="4" borderId="3" xfId="0" applyNumberFormat="1" applyFill="1" applyBorder="1"/>
    <xf numFmtId="14" fontId="0" fillId="3" borderId="3" xfId="0" applyNumberFormat="1" applyFill="1" applyBorder="1"/>
    <xf numFmtId="165" fontId="0" fillId="3" borderId="3" xfId="0" applyNumberFormat="1" applyFill="1" applyBorder="1"/>
    <xf numFmtId="0" fontId="1" fillId="0" borderId="0" xfId="1" applyAlignment="1">
      <alignment horizontal="center"/>
    </xf>
    <xf numFmtId="0" fontId="2" fillId="0" borderId="0" xfId="2" applyBorder="1" applyAlignment="1">
      <alignment horizontal="center"/>
    </xf>
    <xf numFmtId="0" fontId="5" fillId="0" borderId="0" xfId="0" applyFont="1"/>
    <xf numFmtId="0" fontId="6" fillId="0" borderId="0" xfId="0" applyFont="1"/>
    <xf numFmtId="0" fontId="3" fillId="0" borderId="2" xfId="3" applyAlignment="1">
      <alignment horizontal="center"/>
    </xf>
    <xf numFmtId="0" fontId="1" fillId="0" borderId="0" xfId="1" applyAlignment="1">
      <alignment horizontal="center"/>
    </xf>
    <xf numFmtId="0" fontId="2" fillId="0" borderId="0" xfId="2" applyBorder="1" applyAlignment="1">
      <alignment horizontal="center"/>
    </xf>
    <xf numFmtId="0" fontId="7" fillId="0" borderId="0" xfId="0" applyFont="1"/>
    <xf numFmtId="166" fontId="0" fillId="0" borderId="0" xfId="0" applyNumberFormat="1" applyAlignment="1">
      <alignment horizontal="left"/>
    </xf>
    <xf numFmtId="0" fontId="0" fillId="0" borderId="0" xfId="0" applyAlignment="1">
      <alignment horizontal="left" indent="1"/>
    </xf>
    <xf numFmtId="0" fontId="0" fillId="0" borderId="0" xfId="0" applyNumberFormat="1"/>
  </cellXfs>
  <cellStyles count="4">
    <cellStyle name="Heading 1" xfId="2" builtinId="16"/>
    <cellStyle name="Heading 2" xfId="3" builtinId="17"/>
    <cellStyle name="Normal" xfId="0" builtinId="0"/>
    <cellStyle name="Title" xfId="1" builtinId="15"/>
  </cellStyles>
  <dxfs count="11">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6" formatCode="&quot;$&quot;#,##0.00"/>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5" formatCode="[$-409]mmmm\ d\,\ yyyy;@"/>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59999389629810485"/>
          <bgColor theme="4" tint="0.59999389629810485"/>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[Brand New mobile details 2025 dataset back up.xlsx]Dashboard!PivotTable1</c:name>
    <c:fmtId val="1"/>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US" sz="1600" b="1"/>
              <a:t>MONTHLY REVENUE</a:t>
            </a:r>
          </a:p>
        </c:rich>
      </c:tx>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Dashboard!$F$100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Dashboard!$E$101:$E$113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Dashboard!$F$101:$F$113</c:f>
              <c:numCache>
                <c:formatCode>"$"#,##0.00</c:formatCode>
                <c:ptCount val="12"/>
                <c:pt idx="0">
                  <c:v>1990</c:v>
                </c:pt>
                <c:pt idx="1">
                  <c:v>2600</c:v>
                </c:pt>
                <c:pt idx="2">
                  <c:v>2180</c:v>
                </c:pt>
                <c:pt idx="3">
                  <c:v>1910</c:v>
                </c:pt>
                <c:pt idx="4">
                  <c:v>2750</c:v>
                </c:pt>
                <c:pt idx="5">
                  <c:v>3690</c:v>
                </c:pt>
                <c:pt idx="6">
                  <c:v>3700</c:v>
                </c:pt>
                <c:pt idx="7">
                  <c:v>2030</c:v>
                </c:pt>
                <c:pt idx="8">
                  <c:v>1790</c:v>
                </c:pt>
                <c:pt idx="9">
                  <c:v>2240</c:v>
                </c:pt>
                <c:pt idx="10">
                  <c:v>2220</c:v>
                </c:pt>
                <c:pt idx="11">
                  <c:v>1980</c:v>
                </c:pt>
              </c:numCache>
            </c:numRef>
          </c:val>
          <c:smooth val="0"/>
          <c:extLst>
            <c:ext xmlns:c16="http://schemas.microsoft.com/office/drawing/2014/chart" uri="{C3380CC4-5D6E-409C-BE32-E72D297353CC}">
              <c16:uniqueId val="{0000000D-2C17-4B7B-ADFD-B9AC4D46BCD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27023023"/>
        <c:axId val="2127005743"/>
      </c:lineChart>
      <c:catAx>
        <c:axId val="212702302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ln w="19050">
                  <a:solidFill>
                    <a:schemeClr val="lt1"/>
                  </a:solidFill>
                </a:ln>
                <a:solidFill>
                  <a:schemeClr val="lt1"/>
                </a:solidFill>
                <a:latin typeface="+mn-lt"/>
                <a:ea typeface="+mn-ea"/>
                <a:cs typeface="+mn-cs"/>
              </a:defRPr>
            </a:pPr>
            <a:endParaRPr lang="en-US"/>
          </a:p>
        </c:txPr>
        <c:crossAx val="2127005743"/>
        <c:crosses val="autoZero"/>
        <c:auto val="1"/>
        <c:lblAlgn val="ctr"/>
        <c:lblOffset val="100"/>
        <c:noMultiLvlLbl val="0"/>
      </c:catAx>
      <c:valAx>
        <c:axId val="2127005743"/>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12700">
                  <a:solidFill>
                    <a:schemeClr val="lt1"/>
                  </a:solidFill>
                </a:ln>
                <a:solidFill>
                  <a:schemeClr val="lt1"/>
                </a:solidFill>
                <a:latin typeface="+mn-lt"/>
                <a:ea typeface="+mn-ea"/>
                <a:cs typeface="+mn-cs"/>
              </a:defRPr>
            </a:pPr>
            <a:endParaRPr lang="en-US"/>
          </a:p>
        </c:txPr>
        <c:crossAx val="2127023023"/>
        <c:crosses val="autoZero"/>
        <c:crossBetween val="between"/>
      </c:valAx>
      <c:spPr>
        <a:solidFill>
          <a:srgbClr val="FF0000"/>
        </a:solid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[Brand New mobile details 2025 dataset back up.xlsx]Dashboard!PivotTable2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SERVICE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Dashboard!$I$100</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Dashboard!$H$101:$H$106</c:f>
              <c:strCache>
                <c:ptCount val="5"/>
                <c:pt idx="0">
                  <c:v>Engine Bay Cleaning</c:v>
                </c:pt>
                <c:pt idx="1">
                  <c:v>Exterior Wash</c:v>
                </c:pt>
                <c:pt idx="2">
                  <c:v>Full Detail</c:v>
                </c:pt>
                <c:pt idx="3">
                  <c:v>Headlight Restoration</c:v>
                </c:pt>
                <c:pt idx="4">
                  <c:v>Interior Detail</c:v>
                </c:pt>
              </c:strCache>
            </c:strRef>
          </c:cat>
          <c:val>
            <c:numRef>
              <c:f>Dashboard!$I$101:$I$106</c:f>
              <c:numCache>
                <c:formatCode>"$"#,##0.00</c:formatCode>
                <c:ptCount val="5"/>
                <c:pt idx="0">
                  <c:v>4560</c:v>
                </c:pt>
                <c:pt idx="1">
                  <c:v>3240</c:v>
                </c:pt>
                <c:pt idx="2">
                  <c:v>9000</c:v>
                </c:pt>
                <c:pt idx="3">
                  <c:v>4480</c:v>
                </c:pt>
                <c:pt idx="4">
                  <c:v>7800</c:v>
                </c:pt>
              </c:numCache>
            </c:numRef>
          </c:val>
          <c:extLst>
            <c:ext xmlns:c16="http://schemas.microsoft.com/office/drawing/2014/chart" uri="{C3380CC4-5D6E-409C-BE32-E72D297353CC}">
              <c16:uniqueId val="{00000000-5A04-42C4-B02B-842386E00C0F}"/>
            </c:ext>
          </c:extLst>
        </c:ser>
        <c:dLbls>
          <c:showLegendKey val="0"/>
          <c:showVal val="0"/>
          <c:showCatName val="0"/>
          <c:showSerName val="0"/>
          <c:showPercent val="0"/>
          <c:showBubbleSize val="0"/>
        </c:dLbls>
        <c:gapWidth val="150"/>
        <c:shape val="box"/>
        <c:axId val="2127018703"/>
        <c:axId val="2127020623"/>
        <c:axId val="0"/>
      </c:bar3DChart>
      <c:catAx>
        <c:axId val="2127018703"/>
        <c:scaling>
          <c:orientation val="minMax"/>
        </c:scaling>
        <c:delete val="0"/>
        <c:axPos val="l"/>
        <c:numFmt formatCode="General" sourceLinked="1"/>
        <c:majorTickMark val="none"/>
        <c:minorTickMark val="none"/>
        <c:tickLblPos val="nextTo"/>
        <c:spPr>
          <a:solidFill>
            <a:srgbClr val="C00000"/>
          </a:solidFill>
          <a:ln w="41275">
            <a:solidFill>
              <a:schemeClr val="tx2"/>
            </a:solid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2127020623"/>
        <c:crosses val="autoZero"/>
        <c:auto val="1"/>
        <c:lblAlgn val="ctr"/>
        <c:lblOffset val="100"/>
        <c:noMultiLvlLbl val="0"/>
      </c:catAx>
      <c:valAx>
        <c:axId val="2127020623"/>
        <c:scaling>
          <c:orientation val="minMax"/>
        </c:scaling>
        <c:delete val="0"/>
        <c:axPos val="b"/>
        <c:majorGridlines>
          <c:spPr>
            <a:ln w="9525" cap="flat" cmpd="sng" algn="ctr">
              <a:solidFill>
                <a:schemeClr val="dk1">
                  <a:lumMod val="50000"/>
                  <a:lumOff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7018703"/>
        <c:crosses val="autoZero"/>
        <c:crossBetween val="between"/>
        <c:majorUnit val="4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[Brand New mobile details 2025 dataset back up.xlsx]Dashboard!PivotTable4</c:name>
    <c:fmtId val="0"/>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REVENUE</a:t>
            </a:r>
            <a:r>
              <a:rPr lang="en-US" sz="1600" b="1" baseline="0">
                <a:solidFill>
                  <a:schemeClr val="bg1"/>
                </a:solidFill>
              </a:rPr>
              <a:t> BY CITY</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bg1"/>
          </a:solidFill>
        </a:ln>
        <a:effectLst/>
        <a:sp3d>
          <a:contourClr>
            <a:schemeClr val="bg1"/>
          </a:contourClr>
        </a:sp3d>
      </c:spPr>
    </c:sideWall>
    <c:backWall>
      <c:thickness val="0"/>
      <c:spPr>
        <a:noFill/>
        <a:ln>
          <a:solidFill>
            <a:schemeClr val="bg1"/>
          </a:solidFill>
        </a:ln>
        <a:effectLst/>
        <a:sp3d>
          <a:contourClr>
            <a:schemeClr val="bg1"/>
          </a:contourClr>
        </a:sp3d>
      </c:spPr>
    </c:backWall>
    <c:plotArea>
      <c:layout/>
      <c:bar3DChart>
        <c:barDir val="bar"/>
        <c:grouping val="stacked"/>
        <c:varyColors val="0"/>
        <c:ser>
          <c:idx val="0"/>
          <c:order val="0"/>
          <c:tx>
            <c:strRef>
              <c:f>Dashboard!$L$101</c:f>
              <c:strCache>
                <c:ptCount val="1"/>
                <c:pt idx="0">
                  <c:v>Total</c:v>
                </c:pt>
              </c:strCache>
            </c:strRef>
          </c:tx>
          <c:spPr>
            <a:solidFill>
              <a:srgbClr val="FF0000"/>
            </a:solidFill>
            <a:ln>
              <a:noFill/>
            </a:ln>
            <a:effectLst/>
            <a:sp3d/>
          </c:spPr>
          <c:invertIfNegative val="0"/>
          <c:cat>
            <c:strRef>
              <c:f>Dashboard!$K$102:$K$107</c:f>
              <c:strCache>
                <c:ptCount val="5"/>
                <c:pt idx="0">
                  <c:v>Englewood</c:v>
                </c:pt>
                <c:pt idx="1">
                  <c:v>North Port</c:v>
                </c:pt>
                <c:pt idx="2">
                  <c:v>Port Charlotte</c:v>
                </c:pt>
                <c:pt idx="3">
                  <c:v>Sarasota</c:v>
                </c:pt>
                <c:pt idx="4">
                  <c:v>Venice</c:v>
                </c:pt>
              </c:strCache>
            </c:strRef>
          </c:cat>
          <c:val>
            <c:numRef>
              <c:f>Dashboard!$L$102:$L$107</c:f>
              <c:numCache>
                <c:formatCode>"$"#,##0.00</c:formatCode>
                <c:ptCount val="5"/>
                <c:pt idx="0">
                  <c:v>5980</c:v>
                </c:pt>
                <c:pt idx="1">
                  <c:v>6430</c:v>
                </c:pt>
                <c:pt idx="2">
                  <c:v>5390</c:v>
                </c:pt>
                <c:pt idx="3">
                  <c:v>5290</c:v>
                </c:pt>
                <c:pt idx="4">
                  <c:v>5990</c:v>
                </c:pt>
              </c:numCache>
            </c:numRef>
          </c:val>
          <c:extLst>
            <c:ext xmlns:c16="http://schemas.microsoft.com/office/drawing/2014/chart" uri="{C3380CC4-5D6E-409C-BE32-E72D297353CC}">
              <c16:uniqueId val="{00000000-C954-4FBD-A26E-E40D949AF84D}"/>
            </c:ext>
          </c:extLst>
        </c:ser>
        <c:dLbls>
          <c:showLegendKey val="0"/>
          <c:showVal val="0"/>
          <c:showCatName val="0"/>
          <c:showSerName val="0"/>
          <c:showPercent val="0"/>
          <c:showBubbleSize val="0"/>
        </c:dLbls>
        <c:gapWidth val="150"/>
        <c:shape val="box"/>
        <c:axId val="2127016783"/>
        <c:axId val="2126998063"/>
        <c:axId val="0"/>
      </c:bar3DChart>
      <c:catAx>
        <c:axId val="2127016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12700">
                  <a:solidFill>
                    <a:schemeClr val="bg1"/>
                  </a:solidFill>
                </a:ln>
                <a:solidFill>
                  <a:schemeClr val="bg1"/>
                </a:solidFill>
                <a:latin typeface="+mn-lt"/>
                <a:ea typeface="+mn-ea"/>
                <a:cs typeface="+mn-cs"/>
              </a:defRPr>
            </a:pPr>
            <a:endParaRPr lang="en-US"/>
          </a:p>
        </c:txPr>
        <c:crossAx val="2126998063"/>
        <c:crosses val="autoZero"/>
        <c:auto val="1"/>
        <c:lblAlgn val="ctr"/>
        <c:lblOffset val="100"/>
        <c:noMultiLvlLbl val="0"/>
      </c:catAx>
      <c:valAx>
        <c:axId val="21269980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12700">
                  <a:solidFill>
                    <a:schemeClr val="bg1"/>
                  </a:solidFill>
                </a:ln>
                <a:solidFill>
                  <a:schemeClr val="bg1"/>
                </a:solidFill>
                <a:latin typeface="+mn-lt"/>
                <a:ea typeface="+mn-ea"/>
                <a:cs typeface="+mn-cs"/>
              </a:defRPr>
            </a:pPr>
            <a:endParaRPr lang="en-US"/>
          </a:p>
        </c:txPr>
        <c:crossAx val="2127016783"/>
        <c:crosses val="autoZero"/>
        <c:crossBetween val="between"/>
        <c:majorUnit val="4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[Brand New mobile details 2025 dataset back up.xlsx]Dashboard!PivotTable5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TYPE</a:t>
            </a:r>
          </a:p>
        </c:rich>
      </c:tx>
      <c:overlay val="0"/>
      <c:spPr>
        <a:solidFill>
          <a:schemeClr val="bg1"/>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pivotFmt>
      <c:pivotFmt>
        <c:idx val="2"/>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pivotFmt>
      <c:pivotFmt>
        <c:idx val="3"/>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pivotFmt>
      <c:pivotFmt>
        <c:idx val="4"/>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pivotFmt>
      <c:pivotFmt>
        <c:idx val="6"/>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pivotFmt>
      <c:pivotFmt>
        <c:idx val="7"/>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pivotFmt>
      <c:pivotFmt>
        <c:idx val="8"/>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pivotFmt>
      <c:pivotFmt>
        <c:idx val="10"/>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pivotFmt>
      <c:pivotFmt>
        <c:idx val="11"/>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pivotFmt>
      <c:pivotFmt>
        <c:idx val="12"/>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pivotFmt>
      <c:pivotFmt>
        <c:idx val="14"/>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pivotFmt>
      <c:pivotFmt>
        <c:idx val="15"/>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Dashboard!$S$101</c:f>
              <c:strCache>
                <c:ptCount val="1"/>
                <c:pt idx="0">
                  <c:v>Total</c:v>
                </c:pt>
              </c:strCache>
            </c:strRef>
          </c:tx>
          <c:spPr>
            <a:ln>
              <a:noFill/>
            </a:ln>
            <a:effectLst>
              <a:outerShdw blurRad="50800" dist="38100" dir="18900000" algn="bl" rotWithShape="0">
                <a:prstClr val="black">
                  <a:alpha val="40000"/>
                </a:prstClr>
              </a:outerShdw>
            </a:effectLst>
            <a:scene3d>
              <a:camera prst="orthographicFront"/>
              <a:lightRig rig="threePt" dir="t"/>
            </a:scene3d>
            <a:sp3d>
              <a:bevelT/>
            </a:sp3d>
          </c:spPr>
          <c:explosion val="4"/>
          <c:dPt>
            <c:idx val="0"/>
            <c:bubble3D val="0"/>
            <c:spPr>
              <a:solidFill>
                <a:schemeClr val="accent1"/>
              </a:solidFill>
              <a:ln>
                <a:noFill/>
              </a:ln>
              <a:effectLst>
                <a:outerShdw blurRad="50800" dist="38100" dir="18900000" algn="bl"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8-9241-4B54-8EA0-D3EDB9F3D013}"/>
              </c:ext>
            </c:extLst>
          </c:dPt>
          <c:dPt>
            <c:idx val="1"/>
            <c:bubble3D val="0"/>
            <c:spPr>
              <a:solidFill>
                <a:schemeClr val="accent2"/>
              </a:solidFill>
              <a:ln>
                <a:noFill/>
              </a:ln>
              <a:effectLst>
                <a:outerShdw blurRad="50800" dist="38100" dir="18900000" algn="bl"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A-9241-4B54-8EA0-D3EDB9F3D013}"/>
              </c:ext>
            </c:extLst>
          </c:dPt>
          <c:dPt>
            <c:idx val="2"/>
            <c:bubble3D val="0"/>
            <c:spPr>
              <a:solidFill>
                <a:schemeClr val="accent3"/>
              </a:solidFill>
              <a:ln>
                <a:noFill/>
              </a:ln>
              <a:effectLst>
                <a:outerShdw blurRad="50800" dist="38100" dir="18900000" algn="bl"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C-9241-4B54-8EA0-D3EDB9F3D01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Dashboard!$R$102:$R$105</c:f>
              <c:strCache>
                <c:ptCount val="3"/>
                <c:pt idx="0">
                  <c:v>Card</c:v>
                </c:pt>
                <c:pt idx="1">
                  <c:v>Cash</c:v>
                </c:pt>
                <c:pt idx="2">
                  <c:v>Mobile Pay</c:v>
                </c:pt>
              </c:strCache>
            </c:strRef>
          </c:cat>
          <c:val>
            <c:numRef>
              <c:f>Dashboard!$S$102:$S$105</c:f>
              <c:numCache>
                <c:formatCode>General</c:formatCode>
                <c:ptCount val="3"/>
                <c:pt idx="0">
                  <c:v>101</c:v>
                </c:pt>
                <c:pt idx="1">
                  <c:v>111</c:v>
                </c:pt>
                <c:pt idx="2">
                  <c:v>88</c:v>
                </c:pt>
              </c:numCache>
            </c:numRef>
          </c:val>
          <c:extLst>
            <c:ext xmlns:c16="http://schemas.microsoft.com/office/drawing/2014/chart" uri="{C3380CC4-5D6E-409C-BE32-E72D297353CC}">
              <c16:uniqueId val="{0000000D-9241-4B54-8EA0-D3EDB9F3D013}"/>
            </c:ext>
          </c:extLst>
        </c:ser>
        <c:dLbls>
          <c:dLblPos val="outEnd"/>
          <c:showLegendKey val="0"/>
          <c:showVal val="0"/>
          <c:showCatName val="0"/>
          <c:showSerName val="0"/>
          <c:showPercent val="1"/>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overlay val="0"/>
      <c:spPr>
        <a:solidFill>
          <a:schemeClr val="tx2">
            <a:lumMod val="60000"/>
            <a:lumOff val="40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blipFill>
      <a:blip xmlns:r="http://schemas.openxmlformats.org/officeDocument/2006/relationships" r:embed="rId3"/>
      <a:tile tx="0" ty="0" sx="100000" sy="100000" flip="none" algn="tl"/>
    </a:blip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0</xdr:colOff>
      <xdr:row>57</xdr:row>
      <xdr:rowOff>0</xdr:rowOff>
    </xdr:to>
    <xdr:grpSp>
      <xdr:nvGrpSpPr>
        <xdr:cNvPr id="19" name="Group 18">
          <a:extLst>
            <a:ext uri="{FF2B5EF4-FFF2-40B4-BE49-F238E27FC236}">
              <a16:creationId xmlns:a16="http://schemas.microsoft.com/office/drawing/2014/main" id="{99E87AD0-7846-514D-3499-DB778B026E5B}"/>
            </a:ext>
          </a:extLst>
        </xdr:cNvPr>
        <xdr:cNvGrpSpPr>
          <a:grpSpLocks noChangeAspect="1"/>
        </xdr:cNvGrpSpPr>
      </xdr:nvGrpSpPr>
      <xdr:grpSpPr>
        <a:xfrm>
          <a:off x="0" y="178594"/>
          <a:ext cx="12352734" cy="10522148"/>
          <a:chOff x="0" y="173182"/>
          <a:chExt cx="8194099" cy="10428719"/>
        </a:xfrm>
      </xdr:grpSpPr>
      <xdr:sp macro="" textlink="">
        <xdr:nvSpPr>
          <xdr:cNvPr id="17" name="Rectangle 16">
            <a:extLst>
              <a:ext uri="{FF2B5EF4-FFF2-40B4-BE49-F238E27FC236}">
                <a16:creationId xmlns:a16="http://schemas.microsoft.com/office/drawing/2014/main" id="{C4931CA5-56AA-ABCB-5AE6-B50883B3AFCB}"/>
              </a:ext>
            </a:extLst>
          </xdr:cNvPr>
          <xdr:cNvSpPr/>
        </xdr:nvSpPr>
        <xdr:spPr>
          <a:xfrm>
            <a:off x="3" y="173182"/>
            <a:ext cx="8190922" cy="10425545"/>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graphicFrame macro="">
        <xdr:nvGraphicFramePr>
          <xdr:cNvPr id="3" name="Chart 2">
            <a:extLst>
              <a:ext uri="{FF2B5EF4-FFF2-40B4-BE49-F238E27FC236}">
                <a16:creationId xmlns:a16="http://schemas.microsoft.com/office/drawing/2014/main" id="{167A5263-E164-DCDA-844A-BF761FF78C7D}"/>
              </a:ext>
            </a:extLst>
          </xdr:cNvPr>
          <xdr:cNvGraphicFramePr/>
        </xdr:nvGraphicFramePr>
        <xdr:xfrm>
          <a:off x="1" y="3290455"/>
          <a:ext cx="8190923" cy="258647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8BA58357-6F81-2E6E-ADB4-0D4D5BC1BCC7}"/>
              </a:ext>
            </a:extLst>
          </xdr:cNvPr>
          <xdr:cNvGraphicFramePr/>
        </xdr:nvGraphicFramePr>
        <xdr:xfrm>
          <a:off x="0" y="5888182"/>
          <a:ext cx="3658466" cy="225136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66BF7175-F62D-03A1-CA90-4E3F8B750002}"/>
              </a:ext>
            </a:extLst>
          </xdr:cNvPr>
          <xdr:cNvGraphicFramePr/>
        </xdr:nvGraphicFramePr>
        <xdr:xfrm>
          <a:off x="3655292" y="5888182"/>
          <a:ext cx="4535632" cy="2251363"/>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6B87364C-5582-AF52-3151-B699461BB17D}"/>
                  </a:ext>
                </a:extLst>
              </xdr:cNvPr>
              <xdr:cNvGraphicFramePr/>
            </xdr:nvGraphicFramePr>
            <xdr:xfrm>
              <a:off x="0" y="887845"/>
              <a:ext cx="1819564" cy="244071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899660"/>
                <a:ext cx="2743022" cy="2462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B32C5037-5D6A-3CE3-AD99-DFE692BCCF64}"/>
                  </a:ext>
                </a:extLst>
              </xdr:cNvPr>
              <xdr:cNvGraphicFramePr/>
            </xdr:nvGraphicFramePr>
            <xdr:xfrm>
              <a:off x="4313901" y="891020"/>
              <a:ext cx="1818698" cy="2437535"/>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503274" y="902863"/>
                <a:ext cx="2741716" cy="245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Location">
                <a:extLst>
                  <a:ext uri="{FF2B5EF4-FFF2-40B4-BE49-F238E27FC236}">
                    <a16:creationId xmlns:a16="http://schemas.microsoft.com/office/drawing/2014/main" id="{737B8EDF-C210-F470-D7BB-3FFEEF28D449}"/>
                  </a:ext>
                </a:extLst>
              </xdr:cNvPr>
              <xdr:cNvGraphicFramePr/>
            </xdr:nvGraphicFramePr>
            <xdr:xfrm>
              <a:off x="2191039" y="887845"/>
              <a:ext cx="1835438" cy="244071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3303026" y="899660"/>
                <a:ext cx="2766952" cy="2462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Payment Type">
                <a:extLst>
                  <a:ext uri="{FF2B5EF4-FFF2-40B4-BE49-F238E27FC236}">
                    <a16:creationId xmlns:a16="http://schemas.microsoft.com/office/drawing/2014/main" id="{D2D4EB2F-B217-09EF-DF1D-C55B6E01AF1B}"/>
                  </a:ext>
                </a:extLst>
              </xdr:cNvPr>
              <xdr:cNvGraphicFramePr/>
            </xdr:nvGraphicFramePr>
            <xdr:xfrm>
              <a:off x="6371360" y="891020"/>
              <a:ext cx="1819564" cy="2437535"/>
            </xdr:xfrm>
            <a:graphic>
              <a:graphicData uri="http://schemas.microsoft.com/office/drawing/2010/slicer">
                <sle:slicer xmlns:sle="http://schemas.microsoft.com/office/drawing/2010/slicer" name="Payment Type"/>
              </a:graphicData>
            </a:graphic>
          </xdr:graphicFrame>
        </mc:Choice>
        <mc:Fallback>
          <xdr:sp macro="" textlink="">
            <xdr:nvSpPr>
              <xdr:cNvPr id="0" name=""/>
              <xdr:cNvSpPr>
                <a:spLocks noTextEdit="1"/>
              </xdr:cNvSpPr>
            </xdr:nvSpPr>
            <xdr:spPr>
              <a:xfrm>
                <a:off x="9604926" y="902863"/>
                <a:ext cx="2743022" cy="245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 name="Chart 1">
            <a:extLst>
              <a:ext uri="{FF2B5EF4-FFF2-40B4-BE49-F238E27FC236}">
                <a16:creationId xmlns:a16="http://schemas.microsoft.com/office/drawing/2014/main" id="{5E442E4B-D1E1-CE08-BB25-9F2462A3CD81}"/>
              </a:ext>
            </a:extLst>
          </xdr:cNvPr>
          <xdr:cNvGraphicFramePr/>
        </xdr:nvGraphicFramePr>
        <xdr:xfrm>
          <a:off x="1" y="8139545"/>
          <a:ext cx="3655290" cy="2459182"/>
        </xdr:xfrm>
        <a:graphic>
          <a:graphicData uri="http://schemas.openxmlformats.org/drawingml/2006/chart">
            <c:chart xmlns:c="http://schemas.openxmlformats.org/drawingml/2006/chart" xmlns:r="http://schemas.openxmlformats.org/officeDocument/2006/relationships" r:id="rId4"/>
          </a:graphicData>
        </a:graphic>
      </xdr:graphicFrame>
      <xdr:sp macro="" textlink="F113">
        <xdr:nvSpPr>
          <xdr:cNvPr id="10" name="TextBox 9">
            <a:extLst>
              <a:ext uri="{FF2B5EF4-FFF2-40B4-BE49-F238E27FC236}">
                <a16:creationId xmlns:a16="http://schemas.microsoft.com/office/drawing/2014/main" id="{F7378ECC-1B09-83A1-91CB-754FB3F3943A}"/>
              </a:ext>
            </a:extLst>
          </xdr:cNvPr>
          <xdr:cNvSpPr txBox="1"/>
        </xdr:nvSpPr>
        <xdr:spPr>
          <a:xfrm>
            <a:off x="3772476" y="8139546"/>
            <a:ext cx="2255925" cy="727074"/>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BD660E1-D1AB-4783-A40D-E627AB0D2E59}" type="TxLink">
              <a:rPr lang="en-US" sz="1400" b="1" i="0" u="none" strike="noStrike">
                <a:solidFill>
                  <a:srgbClr val="000000"/>
                </a:solidFill>
                <a:latin typeface="Calibri"/>
                <a:cs typeface="Calibri"/>
              </a:rPr>
              <a:t>$29,080.00</a:t>
            </a:fld>
            <a:endParaRPr lang="en-US" sz="1400" b="1" i="0" u="none" strike="noStrike">
              <a:solidFill>
                <a:srgbClr val="000000"/>
              </a:solidFill>
              <a:latin typeface="Calibri"/>
              <a:cs typeface="Calibri"/>
            </a:endParaRPr>
          </a:p>
          <a:p>
            <a:r>
              <a:rPr lang="en-US" sz="1400" b="1" i="0" u="none" strike="noStrike">
                <a:solidFill>
                  <a:srgbClr val="000000"/>
                </a:solidFill>
                <a:latin typeface="Calibri"/>
                <a:cs typeface="Calibri"/>
              </a:rPr>
              <a:t>TOTAL REVENUE</a:t>
            </a:r>
            <a:endParaRPr lang="en-US" sz="1400" b="1"/>
          </a:p>
        </xdr:txBody>
      </xdr:sp>
      <xdr:sp macro="" textlink="K120">
        <xdr:nvSpPr>
          <xdr:cNvPr id="11" name="TextBox 10">
            <a:extLst>
              <a:ext uri="{FF2B5EF4-FFF2-40B4-BE49-F238E27FC236}">
                <a16:creationId xmlns:a16="http://schemas.microsoft.com/office/drawing/2014/main" id="{6243E904-DE6E-7887-2409-6C99E8E03CBB}"/>
              </a:ext>
            </a:extLst>
          </xdr:cNvPr>
          <xdr:cNvSpPr txBox="1"/>
        </xdr:nvSpPr>
        <xdr:spPr>
          <a:xfrm>
            <a:off x="6018299" y="8139545"/>
            <a:ext cx="2172625" cy="70369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38889E-8543-4474-8DEF-59F8C31214E0}" type="TxLink">
              <a:rPr lang="en-US" sz="1400" b="1" i="0" u="none" strike="noStrike" baseline="0">
                <a:solidFill>
                  <a:srgbClr val="000000"/>
                </a:solidFill>
                <a:latin typeface="Calibri"/>
                <a:ea typeface="+mn-ea"/>
                <a:cs typeface="Calibri"/>
              </a:rPr>
              <a:t>$96.93</a:t>
            </a:fld>
            <a:endParaRPr lang="en-US" sz="1400" b="1" i="0" u="none" strike="noStrike" baseline="0">
              <a:solidFill>
                <a:srgbClr val="000000"/>
              </a:solidFill>
              <a:latin typeface="Calibri"/>
              <a:ea typeface="+mn-ea"/>
              <a:cs typeface="Calibri"/>
            </a:endParaRPr>
          </a:p>
          <a:p>
            <a:r>
              <a:rPr lang="en-US" sz="1400" b="1" i="0" u="none" strike="noStrike" baseline="0">
                <a:solidFill>
                  <a:srgbClr val="000000"/>
                </a:solidFill>
                <a:latin typeface="Calibri"/>
                <a:ea typeface="+mn-ea"/>
                <a:cs typeface="Calibri"/>
              </a:rPr>
              <a:t>AVERAGE SALE PER JOB</a:t>
            </a:r>
            <a:endParaRPr lang="en-US" sz="1600" b="1" baseline="0">
              <a:solidFill>
                <a:schemeClr val="tx1"/>
              </a:solidFill>
              <a:latin typeface="+mn-lt"/>
              <a:ea typeface="+mn-ea"/>
              <a:cs typeface="+mn-cs"/>
            </a:endParaRPr>
          </a:p>
        </xdr:txBody>
      </xdr:sp>
      <xdr:sp macro="" textlink="N122">
        <xdr:nvSpPr>
          <xdr:cNvPr id="12" name="TextBox 11">
            <a:extLst>
              <a:ext uri="{FF2B5EF4-FFF2-40B4-BE49-F238E27FC236}">
                <a16:creationId xmlns:a16="http://schemas.microsoft.com/office/drawing/2014/main" id="{B3DC3C4A-7EE6-3089-B41A-E7601AC18FD6}"/>
              </a:ext>
            </a:extLst>
          </xdr:cNvPr>
          <xdr:cNvSpPr txBox="1"/>
        </xdr:nvSpPr>
        <xdr:spPr>
          <a:xfrm>
            <a:off x="3772476" y="9005455"/>
            <a:ext cx="2245823" cy="727363"/>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081ADC-F40A-4816-9E3F-6601F1B82490}" type="TxLink">
              <a:rPr lang="en-US" sz="1400" b="1" i="0" u="none" strike="noStrike" baseline="0">
                <a:solidFill>
                  <a:srgbClr val="000000"/>
                </a:solidFill>
                <a:latin typeface="Calibri"/>
                <a:ea typeface="+mn-ea"/>
                <a:cs typeface="Calibri"/>
              </a:rPr>
              <a:t>71</a:t>
            </a:fld>
            <a:endParaRPr lang="en-US" sz="1400" b="1" i="0" u="none" strike="noStrike" baseline="0">
              <a:solidFill>
                <a:srgbClr val="000000"/>
              </a:solidFill>
              <a:latin typeface="Calibri"/>
              <a:ea typeface="+mn-ea"/>
              <a:cs typeface="Calibri"/>
            </a:endParaRPr>
          </a:p>
          <a:p>
            <a:r>
              <a:rPr lang="en-US" sz="1400" b="1" i="0" u="none" strike="noStrike" baseline="0">
                <a:solidFill>
                  <a:srgbClr val="000000"/>
                </a:solidFill>
                <a:latin typeface="Calibri"/>
                <a:ea typeface="+mn-ea"/>
                <a:cs typeface="Calibri"/>
              </a:rPr>
              <a:t>TOP LOCATION</a:t>
            </a:r>
            <a:endParaRPr lang="en-US" sz="1600" b="1" baseline="0">
              <a:solidFill>
                <a:schemeClr val="tx1"/>
              </a:solidFill>
              <a:latin typeface="+mn-lt"/>
              <a:ea typeface="+mn-ea"/>
              <a:cs typeface="+mn-cs"/>
            </a:endParaRPr>
          </a:p>
        </xdr:txBody>
      </xdr:sp>
      <xdr:sp macro="" textlink="N112">
        <xdr:nvSpPr>
          <xdr:cNvPr id="13" name="TextBox 12">
            <a:extLst>
              <a:ext uri="{FF2B5EF4-FFF2-40B4-BE49-F238E27FC236}">
                <a16:creationId xmlns:a16="http://schemas.microsoft.com/office/drawing/2014/main" id="{0951F4D9-061F-C1C6-9D82-C90204E659EE}"/>
              </a:ext>
            </a:extLst>
          </xdr:cNvPr>
          <xdr:cNvSpPr txBox="1"/>
        </xdr:nvSpPr>
        <xdr:spPr>
          <a:xfrm>
            <a:off x="3772476" y="9906000"/>
            <a:ext cx="2245823" cy="692727"/>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7C716B-805B-4296-8230-0DF3E119AC79}" type="TxLink">
              <a:rPr lang="en-US" sz="1300" b="1" i="0" u="none" strike="noStrike" baseline="0">
                <a:solidFill>
                  <a:srgbClr val="000000"/>
                </a:solidFill>
                <a:latin typeface="Calibri"/>
                <a:ea typeface="+mn-ea"/>
                <a:cs typeface="Calibri"/>
              </a:rPr>
              <a:t>64</a:t>
            </a:fld>
            <a:endParaRPr lang="en-US" sz="1300" b="1" i="0" u="none" strike="noStrike" baseline="0">
              <a:solidFill>
                <a:srgbClr val="000000"/>
              </a:solidFill>
              <a:latin typeface="Calibri"/>
              <a:ea typeface="+mn-ea"/>
              <a:cs typeface="Calibri"/>
            </a:endParaRPr>
          </a:p>
          <a:p>
            <a:r>
              <a:rPr lang="en-US" sz="1300" b="1" i="0" u="none" strike="noStrike" baseline="0">
                <a:solidFill>
                  <a:srgbClr val="000000"/>
                </a:solidFill>
                <a:latin typeface="Calibri"/>
                <a:ea typeface="+mn-ea"/>
                <a:cs typeface="Calibri"/>
              </a:rPr>
              <a:t>MOST POPULAR SERVICE</a:t>
            </a:r>
            <a:endParaRPr lang="en-US" sz="1300" b="1" baseline="0">
              <a:solidFill>
                <a:schemeClr val="tx1"/>
              </a:solidFill>
              <a:latin typeface="+mn-lt"/>
              <a:ea typeface="+mn-ea"/>
              <a:cs typeface="+mn-cs"/>
            </a:endParaRPr>
          </a:p>
        </xdr:txBody>
      </xdr:sp>
      <xdr:sp macro="" textlink="S103">
        <xdr:nvSpPr>
          <xdr:cNvPr id="15" name="TextBox 14">
            <a:extLst>
              <a:ext uri="{FF2B5EF4-FFF2-40B4-BE49-F238E27FC236}">
                <a16:creationId xmlns:a16="http://schemas.microsoft.com/office/drawing/2014/main" id="{7C525008-7A69-F7A8-1049-E1AD8A35C78D}"/>
              </a:ext>
            </a:extLst>
          </xdr:cNvPr>
          <xdr:cNvSpPr txBox="1"/>
        </xdr:nvSpPr>
        <xdr:spPr>
          <a:xfrm>
            <a:off x="6018299" y="9005455"/>
            <a:ext cx="2172625" cy="727363"/>
          </a:xfrm>
          <a:prstGeom prst="rect">
            <a:avLst/>
          </a:prstGeom>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108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7EF91F-6185-4706-853E-202B32CCCD32}" type="TxLink">
              <a:rPr lang="en-US" sz="1400" b="1" i="0" u="none" strike="noStrike">
                <a:solidFill>
                  <a:srgbClr val="000000"/>
                </a:solidFill>
                <a:latin typeface="Calibri"/>
                <a:cs typeface="Calibri"/>
              </a:rPr>
              <a:t>111</a:t>
            </a:fld>
            <a:endParaRPr lang="en-US" sz="1400" b="1" i="0" u="none" strike="noStrike">
              <a:solidFill>
                <a:srgbClr val="000000"/>
              </a:solidFill>
              <a:latin typeface="Calibri"/>
              <a:cs typeface="Calibri"/>
            </a:endParaRPr>
          </a:p>
          <a:p>
            <a:r>
              <a:rPr lang="en-US" sz="1400" b="1" i="0" u="none" strike="noStrike">
                <a:solidFill>
                  <a:srgbClr val="000000"/>
                </a:solidFill>
                <a:latin typeface="Calibri"/>
                <a:cs typeface="Calibri"/>
              </a:rPr>
              <a:t>MOST POPULAR PAYMENT</a:t>
            </a:r>
            <a:r>
              <a:rPr lang="en-US" sz="1400" b="1" i="0" u="none" strike="noStrike" baseline="0">
                <a:solidFill>
                  <a:srgbClr val="000000"/>
                </a:solidFill>
                <a:latin typeface="Calibri"/>
                <a:cs typeface="Calibri"/>
              </a:rPr>
              <a:t> TYPE</a:t>
            </a:r>
            <a:endParaRPr lang="en-US" sz="1400" b="1"/>
          </a:p>
        </xdr:txBody>
      </xdr:sp>
      <xdr:sp macro="" textlink="I103">
        <xdr:nvSpPr>
          <xdr:cNvPr id="16" name="TextBox 15">
            <a:extLst>
              <a:ext uri="{FF2B5EF4-FFF2-40B4-BE49-F238E27FC236}">
                <a16:creationId xmlns:a16="http://schemas.microsoft.com/office/drawing/2014/main" id="{E18C88FF-C860-7A05-2081-F7C3A57CD9BB}"/>
              </a:ext>
            </a:extLst>
          </xdr:cNvPr>
          <xdr:cNvSpPr txBox="1"/>
        </xdr:nvSpPr>
        <xdr:spPr>
          <a:xfrm>
            <a:off x="6018300" y="9906000"/>
            <a:ext cx="2175799" cy="695901"/>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08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AA91A7-3D77-4445-B08A-CCDCBC4F1771}" type="TxLink">
              <a:rPr lang="en-US" sz="1400" b="1" i="0" u="none" strike="noStrike">
                <a:solidFill>
                  <a:srgbClr val="000000"/>
                </a:solidFill>
                <a:latin typeface="Calibri"/>
                <a:cs typeface="Calibri"/>
              </a:rPr>
              <a:t>$9,000.00</a:t>
            </a:fld>
            <a:endParaRPr lang="en-US" sz="1400" b="1" i="0" u="none" strike="noStrike">
              <a:solidFill>
                <a:srgbClr val="000000"/>
              </a:solidFill>
              <a:latin typeface="Calibri"/>
              <a:cs typeface="Calibri"/>
            </a:endParaRPr>
          </a:p>
          <a:p>
            <a:r>
              <a:rPr lang="en-US" sz="1400" b="1" i="0" u="none" strike="noStrike">
                <a:solidFill>
                  <a:srgbClr val="000000"/>
                </a:solidFill>
                <a:latin typeface="Calibri"/>
                <a:cs typeface="Calibri"/>
              </a:rPr>
              <a:t>MOST</a:t>
            </a:r>
            <a:r>
              <a:rPr lang="en-US" sz="1400" b="1" i="0" u="none" strike="noStrike" baseline="0">
                <a:solidFill>
                  <a:srgbClr val="000000"/>
                </a:solidFill>
                <a:latin typeface="Calibri"/>
                <a:cs typeface="Calibri"/>
              </a:rPr>
              <a:t> VALUABLE SERVICE</a:t>
            </a:r>
            <a:endParaRPr lang="en-US" sz="1400" b="1"/>
          </a:p>
        </xdr:txBody>
      </xdr:sp>
    </xdr:grpSp>
    <xdr:clientData/>
  </xdr:twoCellAnchor>
  <xdr:oneCellAnchor>
    <xdr:from>
      <xdr:col>2</xdr:col>
      <xdr:colOff>142875</xdr:colOff>
      <xdr:row>1</xdr:row>
      <xdr:rowOff>0</xdr:rowOff>
    </xdr:from>
    <xdr:ext cx="7236340" cy="711200"/>
    <xdr:sp macro="" textlink="">
      <xdr:nvSpPr>
        <xdr:cNvPr id="18" name="TextBox 17">
          <a:extLst>
            <a:ext uri="{FF2B5EF4-FFF2-40B4-BE49-F238E27FC236}">
              <a16:creationId xmlns:a16="http://schemas.microsoft.com/office/drawing/2014/main" id="{8C3256E0-4D90-0FB8-5441-E31585085E67}"/>
            </a:ext>
          </a:extLst>
        </xdr:cNvPr>
        <xdr:cNvSpPr txBox="1"/>
      </xdr:nvSpPr>
      <xdr:spPr>
        <a:xfrm>
          <a:off x="1839516" y="178594"/>
          <a:ext cx="7236340" cy="711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1"/>
            <a:t>BRAND</a:t>
          </a:r>
          <a:r>
            <a:rPr lang="en-US" sz="2000" b="1" baseline="0"/>
            <a:t> NEW MOBILE DETAIL</a:t>
          </a:r>
        </a:p>
        <a:p>
          <a:pPr algn="ctr"/>
          <a:r>
            <a:rPr lang="en-US" sz="1600" b="1" baseline="0"/>
            <a:t>2025 DASHBOARD ANALYTICS</a:t>
          </a:r>
          <a:endParaRPr lang="en-US" sz="16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wis Placide" refreshedDate="45974.968645601853" createdVersion="8" refreshedVersion="8" minRefreshableVersion="3" recordCount="300" xr:uid="{35DEF850-DA33-4B97-BCB2-A04C83B76C53}">
  <cacheSource type="worksheet">
    <worksheetSource ref="A1:I301" sheet="Brand New Mobile Details Data"/>
  </cacheSource>
  <cacheFields count="11">
    <cacheField name="Date" numFmtId="14">
      <sharedItems containsSemiMixedTypes="0" containsNonDate="0" containsDate="1" containsString="0" minDate="2025-01-02T00:00:00" maxDate="2025-12-31T00:00:00" count="198">
        <d v="2025-01-02T00:00:00"/>
        <d v="2025-01-05T00:00:00"/>
        <d v="2025-01-07T00:00:00"/>
        <d v="2025-01-10T00:00:00"/>
        <d v="2025-01-11T00:00:00"/>
        <d v="2025-01-12T00:00:00"/>
        <d v="2025-01-14T00:00:00"/>
        <d v="2025-01-18T00:00:00"/>
        <d v="2025-01-19T00:00:00"/>
        <d v="2025-01-24T00:00:00"/>
        <d v="2025-01-25T00:00:00"/>
        <d v="2025-01-28T00:00:00"/>
        <d v="2025-01-31T00:00:00"/>
        <d v="2025-02-02T00:00:00"/>
        <d v="2025-02-03T00:00:00"/>
        <d v="2025-02-05T00:00:00"/>
        <d v="2025-02-06T00:00:00"/>
        <d v="2025-02-09T00:00:00"/>
        <d v="2025-02-10T00:00:00"/>
        <d v="2025-02-12T00:00:00"/>
        <d v="2025-02-14T00:00:00"/>
        <d v="2025-02-15T00:00:00"/>
        <d v="2025-02-18T00:00:00"/>
        <d v="2025-02-19T00:00:00"/>
        <d v="2025-02-20T00:00:00"/>
        <d v="2025-02-21T00:00:00"/>
        <d v="2025-02-22T00:00:00"/>
        <d v="2025-02-24T00:00:00"/>
        <d v="2025-02-26T00:00:00"/>
        <d v="2025-02-27T00:00:00"/>
        <d v="2025-03-01T00:00:00"/>
        <d v="2025-03-02T00:00:00"/>
        <d v="2025-03-03T00:00:00"/>
        <d v="2025-03-04T00:00:00"/>
        <d v="2025-03-05T00:00:00"/>
        <d v="2025-03-06T00:00:00"/>
        <d v="2025-03-08T00:00:00"/>
        <d v="2025-03-09T00:00:00"/>
        <d v="2025-03-13T00:00:00"/>
        <d v="2025-03-14T00:00:00"/>
        <d v="2025-03-22T00:00:00"/>
        <d v="2025-03-23T00:00:00"/>
        <d v="2025-03-24T00:00:00"/>
        <d v="2025-03-28T00:00:00"/>
        <d v="2025-03-30T00:00:00"/>
        <d v="2025-03-31T00:00:00"/>
        <d v="2025-04-02T00:00:00"/>
        <d v="2025-04-04T00:00:00"/>
        <d v="2025-04-06T00:00:00"/>
        <d v="2025-04-07T00:00:00"/>
        <d v="2025-04-08T00:00:00"/>
        <d v="2025-04-09T00:00:00"/>
        <d v="2025-04-10T00:00:00"/>
        <d v="2025-04-11T00:00:00"/>
        <d v="2025-04-12T00:00:00"/>
        <d v="2025-04-15T00:00:00"/>
        <d v="2025-04-20T00:00:00"/>
        <d v="2025-04-21T00:00:00"/>
        <d v="2025-04-25T00:00:00"/>
        <d v="2025-04-27T00:00:00"/>
        <d v="2025-04-29T00:00:00"/>
        <d v="2025-04-30T00:00:00"/>
        <d v="2025-05-01T00:00:00"/>
        <d v="2025-05-02T00:00:00"/>
        <d v="2025-05-03T00:00:00"/>
        <d v="2025-05-04T00:00:00"/>
        <d v="2025-05-11T00:00:00"/>
        <d v="2025-05-12T00:00:00"/>
        <d v="2025-05-13T00:00:00"/>
        <d v="2025-05-15T00:00:00"/>
        <d v="2025-05-16T00:00:00"/>
        <d v="2025-05-17T00:00:00"/>
        <d v="2025-05-18T00:00:00"/>
        <d v="2025-05-20T00:00:00"/>
        <d v="2025-05-21T00:00:00"/>
        <d v="2025-05-27T00:00:00"/>
        <d v="2025-05-28T00:00:00"/>
        <d v="2025-05-29T00:00:00"/>
        <d v="2025-05-30T00:00:00"/>
        <d v="2025-06-01T00:00:00"/>
        <d v="2025-06-02T00:00:00"/>
        <d v="2025-06-03T00:00:00"/>
        <d v="2025-06-06T00:00:00"/>
        <d v="2025-06-07T00:00:00"/>
        <d v="2025-06-08T00:00:00"/>
        <d v="2025-06-09T00:00:00"/>
        <d v="2025-06-11T00:00:00"/>
        <d v="2025-06-12T00:00:00"/>
        <d v="2025-06-13T00:00:00"/>
        <d v="2025-06-14T00:00:00"/>
        <d v="2025-06-16T00:00:00"/>
        <d v="2025-06-17T00:00:00"/>
        <d v="2025-06-18T00:00:00"/>
        <d v="2025-06-20T00:00:00"/>
        <d v="2025-06-24T00:00:00"/>
        <d v="2025-06-25T00:00:00"/>
        <d v="2025-06-28T00:00:00"/>
        <d v="2025-06-29T00:00:00"/>
        <d v="2025-06-30T00:00:00"/>
        <d v="2025-07-01T00:00:00"/>
        <d v="2025-07-02T00:00:00"/>
        <d v="2025-07-03T00:00:00"/>
        <d v="2025-07-06T00:00:00"/>
        <d v="2025-07-07T00:00:00"/>
        <d v="2025-07-08T00:00:00"/>
        <d v="2025-07-09T00:00:00"/>
        <d v="2025-07-10T00:00:00"/>
        <d v="2025-07-11T00:00:00"/>
        <d v="2025-07-12T00:00:00"/>
        <d v="2025-07-13T00:00:00"/>
        <d v="2025-07-15T00:00:00"/>
        <d v="2025-07-16T00:00:00"/>
        <d v="2025-07-17T00:00:00"/>
        <d v="2025-07-18T00:00:00"/>
        <d v="2025-07-23T00:00:00"/>
        <d v="2025-07-25T00:00:00"/>
        <d v="2025-07-26T00:00:00"/>
        <d v="2025-07-27T00:00:00"/>
        <d v="2025-07-30T00:00:00"/>
        <d v="2025-08-01T00:00:00"/>
        <d v="2025-08-04T00:00:00"/>
        <d v="2025-08-07T00:00:00"/>
        <d v="2025-08-08T00:00:00"/>
        <d v="2025-08-09T00:00:00"/>
        <d v="2025-08-10T00:00:00"/>
        <d v="2025-08-11T00:00:00"/>
        <d v="2025-08-12T00:00:00"/>
        <d v="2025-08-17T00:00:00"/>
        <d v="2025-08-18T00:00:00"/>
        <d v="2025-08-21T00:00:00"/>
        <d v="2025-08-23T00:00:00"/>
        <d v="2025-08-25T00:00:00"/>
        <d v="2025-08-26T00:00:00"/>
        <d v="2025-08-28T00:00:00"/>
        <d v="2025-08-29T00:00:00"/>
        <d v="2025-08-31T00:00:00"/>
        <d v="2025-09-02T00:00:00"/>
        <d v="2025-09-06T00:00:00"/>
        <d v="2025-09-10T00:00:00"/>
        <d v="2025-09-11T00:00:00"/>
        <d v="2025-09-16T00:00:00"/>
        <d v="2025-09-17T00:00:00"/>
        <d v="2025-09-18T00:00:00"/>
        <d v="2025-09-20T00:00:00"/>
        <d v="2025-09-21T00:00:00"/>
        <d v="2025-09-22T00:00:00"/>
        <d v="2025-09-25T00:00:00"/>
        <d v="2025-09-26T00:00:00"/>
        <d v="2025-09-29T00:00:00"/>
        <d v="2025-10-01T00:00:00"/>
        <d v="2025-10-04T00:00:00"/>
        <d v="2025-10-05T00:00:00"/>
        <d v="2025-10-06T00:00:00"/>
        <d v="2025-10-09T00:00:00"/>
        <d v="2025-10-10T00:00:00"/>
        <d v="2025-10-11T00:00:00"/>
        <d v="2025-10-12T00:00:00"/>
        <d v="2025-10-14T00:00:00"/>
        <d v="2025-10-15T00:00:00"/>
        <d v="2025-10-20T00:00:00"/>
        <d v="2025-10-22T00:00:00"/>
        <d v="2025-10-23T00:00:00"/>
        <d v="2025-10-29T00:00:00"/>
        <d v="2025-10-30T00:00:00"/>
        <d v="2025-10-31T00:00:00"/>
        <d v="2025-11-01T00:00:00"/>
        <d v="2025-11-02T00:00:00"/>
        <d v="2025-11-05T00:00:00"/>
        <d v="2025-11-08T00:00:00"/>
        <d v="2025-11-09T00:00:00"/>
        <d v="2025-11-10T00:00:00"/>
        <d v="2025-11-14T00:00:00"/>
        <d v="2025-11-15T00:00:00"/>
        <d v="2025-11-16T00:00:00"/>
        <d v="2025-11-17T00:00:00"/>
        <d v="2025-11-18T00:00:00"/>
        <d v="2025-11-19T00:00:00"/>
        <d v="2025-11-20T00:00:00"/>
        <d v="2025-11-22T00:00:00"/>
        <d v="2025-11-24T00:00:00"/>
        <d v="2025-11-25T00:00:00"/>
        <d v="2025-11-27T00:00:00"/>
        <d v="2025-11-29T00:00:00"/>
        <d v="2025-12-01T00:00:00"/>
        <d v="2025-12-02T00:00:00"/>
        <d v="2025-12-04T00:00:00"/>
        <d v="2025-12-06T00:00:00"/>
        <d v="2025-12-07T00:00:00"/>
        <d v="2025-12-08T00:00:00"/>
        <d v="2025-12-12T00:00:00"/>
        <d v="2025-12-17T00:00:00"/>
        <d v="2025-12-19T00:00:00"/>
        <d v="2025-12-22T00:00:00"/>
        <d v="2025-12-24T00:00:00"/>
        <d v="2025-12-25T00:00:00"/>
        <d v="2025-12-26T00:00:00"/>
        <d v="2025-12-28T00:00:00"/>
        <d v="2025-12-30T00:00:00"/>
      </sharedItems>
      <fieldGroup par="10"/>
    </cacheField>
    <cacheField name="Month" numFmtId="14">
      <sharedItems count="12">
        <s v="Jan"/>
        <s v="Feb"/>
        <s v="Mar"/>
        <s v="Apr"/>
        <s v="May"/>
        <s v="Jun"/>
        <s v="Jul"/>
        <s v="Aug"/>
        <s v="Sep"/>
        <s v="Oct"/>
        <s v="Nov"/>
        <s v="Dec"/>
      </sharedItems>
    </cacheField>
    <cacheField name="Weekday" numFmtId="14">
      <sharedItems/>
    </cacheField>
    <cacheField name="Year" numFmtId="165">
      <sharedItems count="1">
        <s v="2025"/>
      </sharedItems>
    </cacheField>
    <cacheField name="Clean Customer Name" numFmtId="0">
      <sharedItems count="48">
        <s v="Mason Price"/>
        <s v="Ella Watson"/>
        <s v="Lucas Young"/>
        <s v="Nora Evans"/>
        <s v="George Grant"/>
        <s v="Jackson Moore"/>
        <s v="Liam Carter"/>
        <s v="Isabella Scott"/>
        <s v="James Miller"/>
        <s v="Jacob Reed"/>
        <s v="Chloe Parker"/>
        <s v="Aubrey Kelly"/>
        <s v="Elijah Brooks"/>
        <s v="Brian King"/>
        <s v="Anthony Davis"/>
        <s v="Emily Clark"/>
        <s v="Kevin Moss"/>
        <s v="Sofia Ramirez"/>
        <s v="Ava Mitchell"/>
        <s v="Evelyn Reed"/>
        <s v="Emma White"/>
        <s v="Victor Stone"/>
        <s v="Maria Lopez"/>
        <s v="Lucas Wright"/>
        <s v="Mason Collins"/>
        <s v="Eddie Jordan"/>
        <s v="Logan Parker"/>
        <s v="Patrick Lane"/>
        <s v="Charlotte Turner"/>
        <s v="Grace Reed"/>
        <s v="Carter James"/>
        <s v="Laura Hill"/>
        <s v="Amelia Rivera"/>
        <s v="Danny Wilson"/>
        <s v="Sophia Martinez"/>
        <s v="Oliver Adams"/>
        <s v="John Doe"/>
        <s v="Harper Cole"/>
        <s v="Michael Brown"/>
        <s v="Henry Scott"/>
        <s v="Ethan Hughes"/>
        <s v="Selena Ward"/>
        <s v="Samuel Ross"/>
        <s v="Alex Knight"/>
        <s v="Sarah Lee"/>
        <s v="Mia Foster"/>
        <s v="Olivia Green"/>
        <s v="Noah Johnson"/>
      </sharedItems>
    </cacheField>
    <cacheField name="Service" numFmtId="0">
      <sharedItems count="5">
        <s v="Exterior Wash"/>
        <s v="Full Detail"/>
        <s v="Headlight Restoration"/>
        <s v="Interior Detail"/>
        <s v="Engine Bay Cleaning"/>
      </sharedItems>
    </cacheField>
    <cacheField name="Price" numFmtId="166">
      <sharedItems containsSemiMixedTypes="0" containsString="0" containsNumber="1" containsInteger="1" minValue="60" maxValue="150"/>
    </cacheField>
    <cacheField name="Location" numFmtId="0">
      <sharedItems count="5">
        <s v="Venice"/>
        <s v="Port Charlotte"/>
        <s v="North Port"/>
        <s v="Sarasota"/>
        <s v="Englewood"/>
      </sharedItems>
    </cacheField>
    <cacheField name="Payment Type" numFmtId="0">
      <sharedItems count="3">
        <s v="Card"/>
        <s v="Cash"/>
        <s v="Mobile Pay"/>
      </sharedItems>
    </cacheField>
    <cacheField name="Days (Date)" numFmtId="0" databaseField="0">
      <fieldGroup base="0">
        <rangePr groupBy="days" startDate="2025-01-02T00:00:00" endDate="2025-12-31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5"/>
        </groupItems>
      </fieldGroup>
    </cacheField>
    <cacheField name="Months (Date)" numFmtId="0" databaseField="0">
      <fieldGroup base="0">
        <rangePr groupBy="months" startDate="2025-01-02T00:00:00" endDate="2025-12-31T00:00:00"/>
        <groupItems count="14">
          <s v="&lt;1/2/2025"/>
          <s v="Jan"/>
          <s v="Feb"/>
          <s v="Mar"/>
          <s v="Apr"/>
          <s v="May"/>
          <s v="Jun"/>
          <s v="Jul"/>
          <s v="Aug"/>
          <s v="Sep"/>
          <s v="Oct"/>
          <s v="Nov"/>
          <s v="Dec"/>
          <s v="&gt;12/31/2025"/>
        </groupItems>
      </fieldGroup>
    </cacheField>
  </cacheFields>
  <extLst>
    <ext xmlns:x14="http://schemas.microsoft.com/office/spreadsheetml/2009/9/main" uri="{725AE2AE-9491-48be-B2B4-4EB974FC3084}">
      <x14:pivotCacheDefinition pivotCacheId="1495237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wis Placide" refreshedDate="45976.021103356485" createdVersion="8" refreshedVersion="8" minRefreshableVersion="3" recordCount="300" xr:uid="{B5514683-E42B-473F-9F1D-0FD742B0EAF3}">
  <cacheSource type="worksheet">
    <worksheetSource name="Table5"/>
  </cacheSource>
  <cacheFields count="9">
    <cacheField name="Date" numFmtId="14">
      <sharedItems containsSemiMixedTypes="0" containsNonDate="0" containsDate="1" containsString="0" minDate="2025-01-02T00:00:00" maxDate="2025-12-31T00:00:00"/>
    </cacheField>
    <cacheField name="Month" numFmtId="14">
      <sharedItems/>
    </cacheField>
    <cacheField name="Weekday" numFmtId="14">
      <sharedItems/>
    </cacheField>
    <cacheField name="Year" numFmtId="165">
      <sharedItems/>
    </cacheField>
    <cacheField name="Clean Customer Name" numFmtId="0">
      <sharedItems/>
    </cacheField>
    <cacheField name="Service" numFmtId="0">
      <sharedItems count="5">
        <s v="Exterior Wash"/>
        <s v="Full Detail"/>
        <s v="Headlight Restoration"/>
        <s v="Interior Detail"/>
        <s v="Engine Bay Cleaning"/>
      </sharedItems>
    </cacheField>
    <cacheField name="Price" numFmtId="166">
      <sharedItems containsSemiMixedTypes="0" containsString="0" containsNumber="1" containsInteger="1" minValue="60" maxValue="150" count="5">
        <n v="60"/>
        <n v="150"/>
        <n v="70"/>
        <n v="120"/>
        <n v="80"/>
      </sharedItems>
    </cacheField>
    <cacheField name="Location" numFmtId="0">
      <sharedItems count="5">
        <s v="Venice"/>
        <s v="Port Charlotte"/>
        <s v="North Port"/>
        <s v="Sarasota"/>
        <s v="Englewood"/>
      </sharedItems>
    </cacheField>
    <cacheField name="Payment Type" numFmtId="0">
      <sharedItems count="3">
        <s v="Card"/>
        <s v="Cash"/>
        <s v="Mobile Pa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Thursday"/>
    <x v="0"/>
    <x v="0"/>
    <x v="0"/>
    <n v="60"/>
    <x v="0"/>
    <x v="0"/>
  </r>
  <r>
    <x v="0"/>
    <x v="0"/>
    <s v="Thursday"/>
    <x v="0"/>
    <x v="1"/>
    <x v="1"/>
    <n v="150"/>
    <x v="1"/>
    <x v="0"/>
  </r>
  <r>
    <x v="0"/>
    <x v="0"/>
    <s v="Thursday"/>
    <x v="0"/>
    <x v="2"/>
    <x v="0"/>
    <n v="60"/>
    <x v="2"/>
    <x v="1"/>
  </r>
  <r>
    <x v="0"/>
    <x v="0"/>
    <s v="Thursday"/>
    <x v="0"/>
    <x v="2"/>
    <x v="0"/>
    <n v="60"/>
    <x v="2"/>
    <x v="0"/>
  </r>
  <r>
    <x v="1"/>
    <x v="0"/>
    <s v="Sunday"/>
    <x v="0"/>
    <x v="2"/>
    <x v="2"/>
    <n v="70"/>
    <x v="2"/>
    <x v="1"/>
  </r>
  <r>
    <x v="2"/>
    <x v="0"/>
    <s v="Tuesday"/>
    <x v="0"/>
    <x v="3"/>
    <x v="1"/>
    <n v="150"/>
    <x v="1"/>
    <x v="0"/>
  </r>
  <r>
    <x v="3"/>
    <x v="0"/>
    <s v="Friday"/>
    <x v="0"/>
    <x v="4"/>
    <x v="1"/>
    <n v="150"/>
    <x v="2"/>
    <x v="0"/>
  </r>
  <r>
    <x v="3"/>
    <x v="0"/>
    <s v="Friday"/>
    <x v="0"/>
    <x v="5"/>
    <x v="1"/>
    <n v="150"/>
    <x v="0"/>
    <x v="0"/>
  </r>
  <r>
    <x v="4"/>
    <x v="0"/>
    <s v="Saturday"/>
    <x v="0"/>
    <x v="6"/>
    <x v="0"/>
    <n v="60"/>
    <x v="0"/>
    <x v="0"/>
  </r>
  <r>
    <x v="5"/>
    <x v="0"/>
    <s v="Sunday"/>
    <x v="0"/>
    <x v="7"/>
    <x v="3"/>
    <n v="120"/>
    <x v="3"/>
    <x v="2"/>
  </r>
  <r>
    <x v="6"/>
    <x v="0"/>
    <s v="Tuesday"/>
    <x v="0"/>
    <x v="8"/>
    <x v="3"/>
    <n v="120"/>
    <x v="0"/>
    <x v="1"/>
  </r>
  <r>
    <x v="7"/>
    <x v="0"/>
    <s v="Saturday"/>
    <x v="0"/>
    <x v="9"/>
    <x v="3"/>
    <n v="120"/>
    <x v="3"/>
    <x v="1"/>
  </r>
  <r>
    <x v="7"/>
    <x v="0"/>
    <s v="Saturday"/>
    <x v="0"/>
    <x v="10"/>
    <x v="0"/>
    <n v="60"/>
    <x v="2"/>
    <x v="0"/>
  </r>
  <r>
    <x v="8"/>
    <x v="0"/>
    <s v="Sunday"/>
    <x v="0"/>
    <x v="11"/>
    <x v="2"/>
    <n v="70"/>
    <x v="2"/>
    <x v="0"/>
  </r>
  <r>
    <x v="8"/>
    <x v="0"/>
    <s v="Sunday"/>
    <x v="0"/>
    <x v="6"/>
    <x v="3"/>
    <n v="120"/>
    <x v="2"/>
    <x v="1"/>
  </r>
  <r>
    <x v="8"/>
    <x v="0"/>
    <s v="Sunday"/>
    <x v="0"/>
    <x v="8"/>
    <x v="4"/>
    <n v="80"/>
    <x v="2"/>
    <x v="2"/>
  </r>
  <r>
    <x v="9"/>
    <x v="0"/>
    <s v="Friday"/>
    <x v="0"/>
    <x v="12"/>
    <x v="1"/>
    <n v="150"/>
    <x v="3"/>
    <x v="0"/>
  </r>
  <r>
    <x v="10"/>
    <x v="0"/>
    <s v="Saturday"/>
    <x v="0"/>
    <x v="3"/>
    <x v="4"/>
    <n v="80"/>
    <x v="3"/>
    <x v="0"/>
  </r>
  <r>
    <x v="11"/>
    <x v="0"/>
    <s v="Tuesday"/>
    <x v="0"/>
    <x v="13"/>
    <x v="4"/>
    <n v="80"/>
    <x v="3"/>
    <x v="0"/>
  </r>
  <r>
    <x v="12"/>
    <x v="0"/>
    <s v="Friday"/>
    <x v="0"/>
    <x v="7"/>
    <x v="4"/>
    <n v="80"/>
    <x v="4"/>
    <x v="1"/>
  </r>
  <r>
    <x v="13"/>
    <x v="1"/>
    <s v="Sunday"/>
    <x v="0"/>
    <x v="14"/>
    <x v="4"/>
    <n v="80"/>
    <x v="3"/>
    <x v="0"/>
  </r>
  <r>
    <x v="13"/>
    <x v="1"/>
    <s v="Sunday"/>
    <x v="0"/>
    <x v="15"/>
    <x v="0"/>
    <n v="60"/>
    <x v="1"/>
    <x v="2"/>
  </r>
  <r>
    <x v="14"/>
    <x v="1"/>
    <s v="Monday"/>
    <x v="0"/>
    <x v="16"/>
    <x v="0"/>
    <n v="60"/>
    <x v="0"/>
    <x v="1"/>
  </r>
  <r>
    <x v="15"/>
    <x v="1"/>
    <s v="Wednesday"/>
    <x v="0"/>
    <x v="17"/>
    <x v="3"/>
    <n v="120"/>
    <x v="0"/>
    <x v="1"/>
  </r>
  <r>
    <x v="15"/>
    <x v="1"/>
    <s v="Wednesday"/>
    <x v="0"/>
    <x v="8"/>
    <x v="2"/>
    <n v="70"/>
    <x v="1"/>
    <x v="2"/>
  </r>
  <r>
    <x v="16"/>
    <x v="1"/>
    <s v="Thursday"/>
    <x v="0"/>
    <x v="18"/>
    <x v="1"/>
    <n v="150"/>
    <x v="0"/>
    <x v="0"/>
  </r>
  <r>
    <x v="17"/>
    <x v="1"/>
    <s v="Sunday"/>
    <x v="0"/>
    <x v="19"/>
    <x v="0"/>
    <n v="60"/>
    <x v="1"/>
    <x v="1"/>
  </r>
  <r>
    <x v="17"/>
    <x v="1"/>
    <s v="Sunday"/>
    <x v="0"/>
    <x v="12"/>
    <x v="3"/>
    <n v="120"/>
    <x v="2"/>
    <x v="0"/>
  </r>
  <r>
    <x v="18"/>
    <x v="1"/>
    <s v="Monday"/>
    <x v="0"/>
    <x v="11"/>
    <x v="1"/>
    <n v="150"/>
    <x v="2"/>
    <x v="0"/>
  </r>
  <r>
    <x v="18"/>
    <x v="1"/>
    <s v="Monday"/>
    <x v="0"/>
    <x v="18"/>
    <x v="0"/>
    <n v="60"/>
    <x v="1"/>
    <x v="1"/>
  </r>
  <r>
    <x v="18"/>
    <x v="1"/>
    <s v="Monday"/>
    <x v="0"/>
    <x v="6"/>
    <x v="1"/>
    <n v="150"/>
    <x v="1"/>
    <x v="1"/>
  </r>
  <r>
    <x v="19"/>
    <x v="1"/>
    <s v="Wednesday"/>
    <x v="0"/>
    <x v="20"/>
    <x v="4"/>
    <n v="80"/>
    <x v="4"/>
    <x v="2"/>
  </r>
  <r>
    <x v="19"/>
    <x v="1"/>
    <s v="Wednesday"/>
    <x v="0"/>
    <x v="8"/>
    <x v="4"/>
    <n v="80"/>
    <x v="2"/>
    <x v="0"/>
  </r>
  <r>
    <x v="20"/>
    <x v="1"/>
    <s v="Friday"/>
    <x v="0"/>
    <x v="18"/>
    <x v="4"/>
    <n v="80"/>
    <x v="4"/>
    <x v="1"/>
  </r>
  <r>
    <x v="21"/>
    <x v="1"/>
    <s v="Saturday"/>
    <x v="0"/>
    <x v="2"/>
    <x v="0"/>
    <n v="60"/>
    <x v="0"/>
    <x v="1"/>
  </r>
  <r>
    <x v="22"/>
    <x v="1"/>
    <s v="Tuesday"/>
    <x v="0"/>
    <x v="4"/>
    <x v="2"/>
    <n v="70"/>
    <x v="2"/>
    <x v="2"/>
  </r>
  <r>
    <x v="23"/>
    <x v="1"/>
    <s v="Wednesday"/>
    <x v="0"/>
    <x v="21"/>
    <x v="2"/>
    <n v="70"/>
    <x v="1"/>
    <x v="1"/>
  </r>
  <r>
    <x v="23"/>
    <x v="1"/>
    <s v="Wednesday"/>
    <x v="0"/>
    <x v="6"/>
    <x v="1"/>
    <n v="150"/>
    <x v="4"/>
    <x v="0"/>
  </r>
  <r>
    <x v="23"/>
    <x v="1"/>
    <s v="Wednesday"/>
    <x v="0"/>
    <x v="11"/>
    <x v="1"/>
    <n v="150"/>
    <x v="4"/>
    <x v="1"/>
  </r>
  <r>
    <x v="24"/>
    <x v="1"/>
    <s v="Thursday"/>
    <x v="0"/>
    <x v="22"/>
    <x v="4"/>
    <n v="80"/>
    <x v="1"/>
    <x v="0"/>
  </r>
  <r>
    <x v="25"/>
    <x v="1"/>
    <s v="Friday"/>
    <x v="0"/>
    <x v="23"/>
    <x v="3"/>
    <n v="120"/>
    <x v="2"/>
    <x v="0"/>
  </r>
  <r>
    <x v="25"/>
    <x v="1"/>
    <s v="Friday"/>
    <x v="0"/>
    <x v="24"/>
    <x v="1"/>
    <n v="150"/>
    <x v="2"/>
    <x v="0"/>
  </r>
  <r>
    <x v="26"/>
    <x v="1"/>
    <s v="Saturday"/>
    <x v="0"/>
    <x v="25"/>
    <x v="3"/>
    <n v="120"/>
    <x v="2"/>
    <x v="0"/>
  </r>
  <r>
    <x v="26"/>
    <x v="1"/>
    <s v="Saturday"/>
    <x v="0"/>
    <x v="20"/>
    <x v="0"/>
    <n v="60"/>
    <x v="4"/>
    <x v="0"/>
  </r>
  <r>
    <x v="27"/>
    <x v="1"/>
    <s v="Monday"/>
    <x v="0"/>
    <x v="23"/>
    <x v="0"/>
    <n v="60"/>
    <x v="3"/>
    <x v="2"/>
  </r>
  <r>
    <x v="28"/>
    <x v="1"/>
    <s v="Wednesday"/>
    <x v="0"/>
    <x v="26"/>
    <x v="2"/>
    <n v="70"/>
    <x v="1"/>
    <x v="1"/>
  </r>
  <r>
    <x v="29"/>
    <x v="1"/>
    <s v="Thursday"/>
    <x v="0"/>
    <x v="4"/>
    <x v="3"/>
    <n v="120"/>
    <x v="4"/>
    <x v="1"/>
  </r>
  <r>
    <x v="30"/>
    <x v="2"/>
    <s v="Saturday"/>
    <x v="0"/>
    <x v="27"/>
    <x v="1"/>
    <n v="150"/>
    <x v="4"/>
    <x v="2"/>
  </r>
  <r>
    <x v="31"/>
    <x v="2"/>
    <s v="Sunday"/>
    <x v="0"/>
    <x v="8"/>
    <x v="1"/>
    <n v="150"/>
    <x v="2"/>
    <x v="1"/>
  </r>
  <r>
    <x v="32"/>
    <x v="2"/>
    <s v="Monday"/>
    <x v="0"/>
    <x v="28"/>
    <x v="3"/>
    <n v="120"/>
    <x v="0"/>
    <x v="2"/>
  </r>
  <r>
    <x v="32"/>
    <x v="2"/>
    <s v="Monday"/>
    <x v="0"/>
    <x v="13"/>
    <x v="4"/>
    <n v="80"/>
    <x v="4"/>
    <x v="0"/>
  </r>
  <r>
    <x v="33"/>
    <x v="2"/>
    <s v="Tuesday"/>
    <x v="0"/>
    <x v="29"/>
    <x v="0"/>
    <n v="60"/>
    <x v="4"/>
    <x v="1"/>
  </r>
  <r>
    <x v="33"/>
    <x v="2"/>
    <s v="Tuesday"/>
    <x v="0"/>
    <x v="28"/>
    <x v="2"/>
    <n v="70"/>
    <x v="0"/>
    <x v="2"/>
  </r>
  <r>
    <x v="34"/>
    <x v="2"/>
    <s v="Wednesday"/>
    <x v="0"/>
    <x v="17"/>
    <x v="4"/>
    <n v="80"/>
    <x v="1"/>
    <x v="1"/>
  </r>
  <r>
    <x v="34"/>
    <x v="2"/>
    <s v="Wednesday"/>
    <x v="0"/>
    <x v="3"/>
    <x v="3"/>
    <n v="120"/>
    <x v="0"/>
    <x v="0"/>
  </r>
  <r>
    <x v="35"/>
    <x v="2"/>
    <s v="Thursday"/>
    <x v="0"/>
    <x v="16"/>
    <x v="4"/>
    <n v="80"/>
    <x v="3"/>
    <x v="0"/>
  </r>
  <r>
    <x v="36"/>
    <x v="2"/>
    <s v="Saturday"/>
    <x v="0"/>
    <x v="30"/>
    <x v="3"/>
    <n v="120"/>
    <x v="0"/>
    <x v="2"/>
  </r>
  <r>
    <x v="37"/>
    <x v="2"/>
    <s v="Sunday"/>
    <x v="0"/>
    <x v="1"/>
    <x v="2"/>
    <n v="70"/>
    <x v="4"/>
    <x v="1"/>
  </r>
  <r>
    <x v="38"/>
    <x v="2"/>
    <s v="Thursday"/>
    <x v="0"/>
    <x v="24"/>
    <x v="1"/>
    <n v="150"/>
    <x v="2"/>
    <x v="1"/>
  </r>
  <r>
    <x v="38"/>
    <x v="2"/>
    <s v="Thursday"/>
    <x v="0"/>
    <x v="3"/>
    <x v="3"/>
    <n v="120"/>
    <x v="2"/>
    <x v="2"/>
  </r>
  <r>
    <x v="39"/>
    <x v="2"/>
    <s v="Friday"/>
    <x v="0"/>
    <x v="31"/>
    <x v="2"/>
    <n v="70"/>
    <x v="4"/>
    <x v="2"/>
  </r>
  <r>
    <x v="40"/>
    <x v="2"/>
    <s v="Saturday"/>
    <x v="0"/>
    <x v="20"/>
    <x v="2"/>
    <n v="70"/>
    <x v="2"/>
    <x v="0"/>
  </r>
  <r>
    <x v="41"/>
    <x v="2"/>
    <s v="Sunday"/>
    <x v="0"/>
    <x v="30"/>
    <x v="4"/>
    <n v="80"/>
    <x v="0"/>
    <x v="2"/>
  </r>
  <r>
    <x v="41"/>
    <x v="2"/>
    <s v="Sunday"/>
    <x v="0"/>
    <x v="32"/>
    <x v="2"/>
    <n v="70"/>
    <x v="2"/>
    <x v="2"/>
  </r>
  <r>
    <x v="41"/>
    <x v="2"/>
    <s v="Sunday"/>
    <x v="0"/>
    <x v="33"/>
    <x v="1"/>
    <n v="150"/>
    <x v="0"/>
    <x v="0"/>
  </r>
  <r>
    <x v="42"/>
    <x v="2"/>
    <s v="Monday"/>
    <x v="0"/>
    <x v="17"/>
    <x v="2"/>
    <n v="70"/>
    <x v="4"/>
    <x v="0"/>
  </r>
  <r>
    <x v="43"/>
    <x v="2"/>
    <s v="Friday"/>
    <x v="0"/>
    <x v="34"/>
    <x v="4"/>
    <n v="80"/>
    <x v="2"/>
    <x v="2"/>
  </r>
  <r>
    <x v="44"/>
    <x v="2"/>
    <s v="Sunday"/>
    <x v="0"/>
    <x v="27"/>
    <x v="4"/>
    <n v="80"/>
    <x v="0"/>
    <x v="0"/>
  </r>
  <r>
    <x v="45"/>
    <x v="2"/>
    <s v="Monday"/>
    <x v="0"/>
    <x v="14"/>
    <x v="4"/>
    <n v="80"/>
    <x v="4"/>
    <x v="1"/>
  </r>
  <r>
    <x v="45"/>
    <x v="2"/>
    <s v="Monday"/>
    <x v="0"/>
    <x v="28"/>
    <x v="0"/>
    <n v="60"/>
    <x v="2"/>
    <x v="1"/>
  </r>
  <r>
    <x v="46"/>
    <x v="3"/>
    <s v="Wednesday"/>
    <x v="0"/>
    <x v="35"/>
    <x v="3"/>
    <n v="120"/>
    <x v="4"/>
    <x v="1"/>
  </r>
  <r>
    <x v="47"/>
    <x v="3"/>
    <s v="Friday"/>
    <x v="0"/>
    <x v="36"/>
    <x v="4"/>
    <n v="80"/>
    <x v="2"/>
    <x v="2"/>
  </r>
  <r>
    <x v="48"/>
    <x v="3"/>
    <s v="Sunday"/>
    <x v="0"/>
    <x v="22"/>
    <x v="4"/>
    <n v="80"/>
    <x v="0"/>
    <x v="1"/>
  </r>
  <r>
    <x v="49"/>
    <x v="3"/>
    <s v="Monday"/>
    <x v="0"/>
    <x v="20"/>
    <x v="3"/>
    <n v="120"/>
    <x v="4"/>
    <x v="1"/>
  </r>
  <r>
    <x v="50"/>
    <x v="3"/>
    <s v="Tuesday"/>
    <x v="0"/>
    <x v="3"/>
    <x v="2"/>
    <n v="70"/>
    <x v="2"/>
    <x v="0"/>
  </r>
  <r>
    <x v="51"/>
    <x v="3"/>
    <s v="Wednesday"/>
    <x v="0"/>
    <x v="9"/>
    <x v="0"/>
    <n v="60"/>
    <x v="3"/>
    <x v="0"/>
  </r>
  <r>
    <x v="51"/>
    <x v="3"/>
    <s v="Wednesday"/>
    <x v="0"/>
    <x v="19"/>
    <x v="4"/>
    <n v="80"/>
    <x v="3"/>
    <x v="2"/>
  </r>
  <r>
    <x v="51"/>
    <x v="3"/>
    <s v="Wednesday"/>
    <x v="0"/>
    <x v="37"/>
    <x v="2"/>
    <n v="70"/>
    <x v="0"/>
    <x v="0"/>
  </r>
  <r>
    <x v="52"/>
    <x v="3"/>
    <s v="Thursday"/>
    <x v="0"/>
    <x v="38"/>
    <x v="0"/>
    <n v="60"/>
    <x v="1"/>
    <x v="0"/>
  </r>
  <r>
    <x v="53"/>
    <x v="3"/>
    <s v="Friday"/>
    <x v="0"/>
    <x v="6"/>
    <x v="4"/>
    <n v="80"/>
    <x v="3"/>
    <x v="2"/>
  </r>
  <r>
    <x v="54"/>
    <x v="3"/>
    <s v="Saturday"/>
    <x v="0"/>
    <x v="37"/>
    <x v="3"/>
    <n v="120"/>
    <x v="3"/>
    <x v="1"/>
  </r>
  <r>
    <x v="55"/>
    <x v="3"/>
    <s v="Tuesday"/>
    <x v="0"/>
    <x v="15"/>
    <x v="1"/>
    <n v="150"/>
    <x v="3"/>
    <x v="2"/>
  </r>
  <r>
    <x v="55"/>
    <x v="3"/>
    <s v="Tuesday"/>
    <x v="0"/>
    <x v="8"/>
    <x v="2"/>
    <n v="70"/>
    <x v="1"/>
    <x v="2"/>
  </r>
  <r>
    <x v="56"/>
    <x v="3"/>
    <s v="Sunday"/>
    <x v="0"/>
    <x v="16"/>
    <x v="2"/>
    <n v="70"/>
    <x v="1"/>
    <x v="0"/>
  </r>
  <r>
    <x v="57"/>
    <x v="3"/>
    <s v="Monday"/>
    <x v="0"/>
    <x v="21"/>
    <x v="0"/>
    <n v="60"/>
    <x v="1"/>
    <x v="0"/>
  </r>
  <r>
    <x v="57"/>
    <x v="3"/>
    <s v="Monday"/>
    <x v="0"/>
    <x v="21"/>
    <x v="1"/>
    <n v="150"/>
    <x v="0"/>
    <x v="1"/>
  </r>
  <r>
    <x v="58"/>
    <x v="3"/>
    <s v="Friday"/>
    <x v="0"/>
    <x v="35"/>
    <x v="1"/>
    <n v="150"/>
    <x v="0"/>
    <x v="1"/>
  </r>
  <r>
    <x v="59"/>
    <x v="3"/>
    <s v="Sunday"/>
    <x v="0"/>
    <x v="37"/>
    <x v="4"/>
    <n v="80"/>
    <x v="0"/>
    <x v="1"/>
  </r>
  <r>
    <x v="60"/>
    <x v="3"/>
    <s v="Tuesday"/>
    <x v="0"/>
    <x v="33"/>
    <x v="0"/>
    <n v="60"/>
    <x v="2"/>
    <x v="0"/>
  </r>
  <r>
    <x v="61"/>
    <x v="3"/>
    <s v="Wednesday"/>
    <x v="0"/>
    <x v="16"/>
    <x v="0"/>
    <n v="60"/>
    <x v="2"/>
    <x v="1"/>
  </r>
  <r>
    <x v="61"/>
    <x v="3"/>
    <s v="Wednesday"/>
    <x v="0"/>
    <x v="33"/>
    <x v="3"/>
    <n v="120"/>
    <x v="4"/>
    <x v="1"/>
  </r>
  <r>
    <x v="62"/>
    <x v="4"/>
    <s v="Thursday"/>
    <x v="0"/>
    <x v="35"/>
    <x v="4"/>
    <n v="80"/>
    <x v="0"/>
    <x v="1"/>
  </r>
  <r>
    <x v="62"/>
    <x v="4"/>
    <s v="Thursday"/>
    <x v="0"/>
    <x v="9"/>
    <x v="2"/>
    <n v="70"/>
    <x v="2"/>
    <x v="1"/>
  </r>
  <r>
    <x v="63"/>
    <x v="4"/>
    <s v="Friday"/>
    <x v="0"/>
    <x v="8"/>
    <x v="1"/>
    <n v="150"/>
    <x v="0"/>
    <x v="1"/>
  </r>
  <r>
    <x v="64"/>
    <x v="4"/>
    <s v="Saturday"/>
    <x v="0"/>
    <x v="39"/>
    <x v="3"/>
    <n v="120"/>
    <x v="3"/>
    <x v="0"/>
  </r>
  <r>
    <x v="65"/>
    <x v="4"/>
    <s v="Sunday"/>
    <x v="0"/>
    <x v="23"/>
    <x v="4"/>
    <n v="80"/>
    <x v="2"/>
    <x v="2"/>
  </r>
  <r>
    <x v="65"/>
    <x v="4"/>
    <s v="Sunday"/>
    <x v="0"/>
    <x v="30"/>
    <x v="1"/>
    <n v="150"/>
    <x v="0"/>
    <x v="2"/>
  </r>
  <r>
    <x v="66"/>
    <x v="4"/>
    <s v="Sunday"/>
    <x v="0"/>
    <x v="15"/>
    <x v="2"/>
    <n v="70"/>
    <x v="2"/>
    <x v="1"/>
  </r>
  <r>
    <x v="67"/>
    <x v="4"/>
    <s v="Monday"/>
    <x v="0"/>
    <x v="0"/>
    <x v="4"/>
    <n v="80"/>
    <x v="2"/>
    <x v="1"/>
  </r>
  <r>
    <x v="68"/>
    <x v="4"/>
    <s v="Tuesday"/>
    <x v="0"/>
    <x v="40"/>
    <x v="3"/>
    <n v="120"/>
    <x v="4"/>
    <x v="2"/>
  </r>
  <r>
    <x v="69"/>
    <x v="4"/>
    <s v="Thursday"/>
    <x v="0"/>
    <x v="35"/>
    <x v="3"/>
    <n v="120"/>
    <x v="2"/>
    <x v="0"/>
  </r>
  <r>
    <x v="70"/>
    <x v="4"/>
    <s v="Friday"/>
    <x v="0"/>
    <x v="9"/>
    <x v="0"/>
    <n v="60"/>
    <x v="4"/>
    <x v="2"/>
  </r>
  <r>
    <x v="71"/>
    <x v="4"/>
    <s v="Saturday"/>
    <x v="0"/>
    <x v="26"/>
    <x v="4"/>
    <n v="80"/>
    <x v="2"/>
    <x v="2"/>
  </r>
  <r>
    <x v="71"/>
    <x v="4"/>
    <s v="Saturday"/>
    <x v="0"/>
    <x v="37"/>
    <x v="0"/>
    <n v="60"/>
    <x v="1"/>
    <x v="1"/>
  </r>
  <r>
    <x v="72"/>
    <x v="4"/>
    <s v="Sunday"/>
    <x v="0"/>
    <x v="29"/>
    <x v="1"/>
    <n v="150"/>
    <x v="4"/>
    <x v="0"/>
  </r>
  <r>
    <x v="73"/>
    <x v="4"/>
    <s v="Tuesday"/>
    <x v="0"/>
    <x v="41"/>
    <x v="1"/>
    <n v="150"/>
    <x v="1"/>
    <x v="2"/>
  </r>
  <r>
    <x v="73"/>
    <x v="4"/>
    <s v="Tuesday"/>
    <x v="0"/>
    <x v="16"/>
    <x v="1"/>
    <n v="150"/>
    <x v="3"/>
    <x v="0"/>
  </r>
  <r>
    <x v="73"/>
    <x v="4"/>
    <s v="Tuesday"/>
    <x v="0"/>
    <x v="24"/>
    <x v="4"/>
    <n v="80"/>
    <x v="1"/>
    <x v="1"/>
  </r>
  <r>
    <x v="74"/>
    <x v="4"/>
    <s v="Wednesday"/>
    <x v="0"/>
    <x v="19"/>
    <x v="3"/>
    <n v="120"/>
    <x v="1"/>
    <x v="1"/>
  </r>
  <r>
    <x v="74"/>
    <x v="4"/>
    <s v="Wednesday"/>
    <x v="0"/>
    <x v="25"/>
    <x v="0"/>
    <n v="60"/>
    <x v="1"/>
    <x v="2"/>
  </r>
  <r>
    <x v="75"/>
    <x v="4"/>
    <s v="Tuesday"/>
    <x v="0"/>
    <x v="42"/>
    <x v="2"/>
    <n v="70"/>
    <x v="0"/>
    <x v="0"/>
  </r>
  <r>
    <x v="76"/>
    <x v="4"/>
    <s v="Wednesday"/>
    <x v="0"/>
    <x v="35"/>
    <x v="2"/>
    <n v="70"/>
    <x v="1"/>
    <x v="2"/>
  </r>
  <r>
    <x v="76"/>
    <x v="4"/>
    <s v="Wednesday"/>
    <x v="0"/>
    <x v="13"/>
    <x v="1"/>
    <n v="150"/>
    <x v="2"/>
    <x v="1"/>
  </r>
  <r>
    <x v="76"/>
    <x v="4"/>
    <s v="Wednesday"/>
    <x v="0"/>
    <x v="40"/>
    <x v="4"/>
    <n v="80"/>
    <x v="0"/>
    <x v="0"/>
  </r>
  <r>
    <x v="77"/>
    <x v="4"/>
    <s v="Thursday"/>
    <x v="0"/>
    <x v="19"/>
    <x v="1"/>
    <n v="150"/>
    <x v="0"/>
    <x v="1"/>
  </r>
  <r>
    <x v="78"/>
    <x v="4"/>
    <s v="Friday"/>
    <x v="0"/>
    <x v="9"/>
    <x v="4"/>
    <n v="80"/>
    <x v="0"/>
    <x v="1"/>
  </r>
  <r>
    <x v="78"/>
    <x v="4"/>
    <s v="Friday"/>
    <x v="0"/>
    <x v="43"/>
    <x v="0"/>
    <n v="60"/>
    <x v="4"/>
    <x v="0"/>
  </r>
  <r>
    <x v="78"/>
    <x v="4"/>
    <s v="Friday"/>
    <x v="0"/>
    <x v="39"/>
    <x v="4"/>
    <n v="80"/>
    <x v="2"/>
    <x v="2"/>
  </r>
  <r>
    <x v="78"/>
    <x v="4"/>
    <s v="Friday"/>
    <x v="0"/>
    <x v="19"/>
    <x v="0"/>
    <n v="60"/>
    <x v="4"/>
    <x v="0"/>
  </r>
  <r>
    <x v="79"/>
    <x v="5"/>
    <s v="Sunday"/>
    <x v="0"/>
    <x v="33"/>
    <x v="4"/>
    <n v="80"/>
    <x v="2"/>
    <x v="0"/>
  </r>
  <r>
    <x v="79"/>
    <x v="5"/>
    <s v="Sunday"/>
    <x v="0"/>
    <x v="1"/>
    <x v="4"/>
    <n v="80"/>
    <x v="1"/>
    <x v="2"/>
  </r>
  <r>
    <x v="80"/>
    <x v="5"/>
    <s v="Monday"/>
    <x v="0"/>
    <x v="24"/>
    <x v="1"/>
    <n v="150"/>
    <x v="4"/>
    <x v="1"/>
  </r>
  <r>
    <x v="80"/>
    <x v="5"/>
    <s v="Monday"/>
    <x v="0"/>
    <x v="44"/>
    <x v="1"/>
    <n v="150"/>
    <x v="4"/>
    <x v="0"/>
  </r>
  <r>
    <x v="80"/>
    <x v="5"/>
    <s v="Monday"/>
    <x v="0"/>
    <x v="38"/>
    <x v="4"/>
    <n v="80"/>
    <x v="0"/>
    <x v="1"/>
  </r>
  <r>
    <x v="81"/>
    <x v="5"/>
    <s v="Tuesday"/>
    <x v="0"/>
    <x v="14"/>
    <x v="2"/>
    <n v="70"/>
    <x v="2"/>
    <x v="1"/>
  </r>
  <r>
    <x v="82"/>
    <x v="5"/>
    <s v="Friday"/>
    <x v="0"/>
    <x v="19"/>
    <x v="1"/>
    <n v="150"/>
    <x v="1"/>
    <x v="0"/>
  </r>
  <r>
    <x v="83"/>
    <x v="5"/>
    <s v="Saturday"/>
    <x v="0"/>
    <x v="17"/>
    <x v="4"/>
    <n v="80"/>
    <x v="3"/>
    <x v="1"/>
  </r>
  <r>
    <x v="83"/>
    <x v="5"/>
    <s v="Saturday"/>
    <x v="0"/>
    <x v="3"/>
    <x v="4"/>
    <n v="80"/>
    <x v="2"/>
    <x v="1"/>
  </r>
  <r>
    <x v="84"/>
    <x v="5"/>
    <s v="Sunday"/>
    <x v="0"/>
    <x v="40"/>
    <x v="2"/>
    <n v="70"/>
    <x v="4"/>
    <x v="0"/>
  </r>
  <r>
    <x v="85"/>
    <x v="5"/>
    <s v="Monday"/>
    <x v="0"/>
    <x v="39"/>
    <x v="4"/>
    <n v="80"/>
    <x v="2"/>
    <x v="2"/>
  </r>
  <r>
    <x v="86"/>
    <x v="5"/>
    <s v="Wednesday"/>
    <x v="0"/>
    <x v="1"/>
    <x v="4"/>
    <n v="80"/>
    <x v="4"/>
    <x v="1"/>
  </r>
  <r>
    <x v="87"/>
    <x v="5"/>
    <s v="Thursday"/>
    <x v="0"/>
    <x v="26"/>
    <x v="3"/>
    <n v="120"/>
    <x v="4"/>
    <x v="2"/>
  </r>
  <r>
    <x v="87"/>
    <x v="5"/>
    <s v="Thursday"/>
    <x v="0"/>
    <x v="15"/>
    <x v="3"/>
    <n v="120"/>
    <x v="3"/>
    <x v="0"/>
  </r>
  <r>
    <x v="88"/>
    <x v="5"/>
    <s v="Friday"/>
    <x v="0"/>
    <x v="23"/>
    <x v="2"/>
    <n v="70"/>
    <x v="0"/>
    <x v="2"/>
  </r>
  <r>
    <x v="89"/>
    <x v="5"/>
    <s v="Saturday"/>
    <x v="0"/>
    <x v="18"/>
    <x v="2"/>
    <n v="70"/>
    <x v="4"/>
    <x v="1"/>
  </r>
  <r>
    <x v="89"/>
    <x v="5"/>
    <s v="Saturday"/>
    <x v="0"/>
    <x v="40"/>
    <x v="3"/>
    <n v="120"/>
    <x v="1"/>
    <x v="0"/>
  </r>
  <r>
    <x v="89"/>
    <x v="5"/>
    <s v="Saturday"/>
    <x v="0"/>
    <x v="30"/>
    <x v="2"/>
    <n v="70"/>
    <x v="1"/>
    <x v="2"/>
  </r>
  <r>
    <x v="89"/>
    <x v="5"/>
    <s v="Saturday"/>
    <x v="0"/>
    <x v="33"/>
    <x v="4"/>
    <n v="80"/>
    <x v="0"/>
    <x v="1"/>
  </r>
  <r>
    <x v="89"/>
    <x v="5"/>
    <s v="Saturday"/>
    <x v="0"/>
    <x v="24"/>
    <x v="2"/>
    <n v="70"/>
    <x v="3"/>
    <x v="2"/>
  </r>
  <r>
    <x v="90"/>
    <x v="5"/>
    <s v="Monday"/>
    <x v="0"/>
    <x v="12"/>
    <x v="3"/>
    <n v="120"/>
    <x v="1"/>
    <x v="1"/>
  </r>
  <r>
    <x v="91"/>
    <x v="5"/>
    <s v="Tuesday"/>
    <x v="0"/>
    <x v="7"/>
    <x v="1"/>
    <n v="150"/>
    <x v="1"/>
    <x v="1"/>
  </r>
  <r>
    <x v="92"/>
    <x v="5"/>
    <s v="Wednesday"/>
    <x v="0"/>
    <x v="3"/>
    <x v="2"/>
    <n v="70"/>
    <x v="2"/>
    <x v="0"/>
  </r>
  <r>
    <x v="92"/>
    <x v="5"/>
    <s v="Wednesday"/>
    <x v="0"/>
    <x v="25"/>
    <x v="3"/>
    <n v="120"/>
    <x v="1"/>
    <x v="0"/>
  </r>
  <r>
    <x v="92"/>
    <x v="5"/>
    <s v="Wednesday"/>
    <x v="0"/>
    <x v="25"/>
    <x v="3"/>
    <n v="120"/>
    <x v="4"/>
    <x v="0"/>
  </r>
  <r>
    <x v="93"/>
    <x v="5"/>
    <s v="Friday"/>
    <x v="0"/>
    <x v="14"/>
    <x v="2"/>
    <n v="70"/>
    <x v="1"/>
    <x v="1"/>
  </r>
  <r>
    <x v="94"/>
    <x v="5"/>
    <s v="Tuesday"/>
    <x v="0"/>
    <x v="25"/>
    <x v="4"/>
    <n v="80"/>
    <x v="2"/>
    <x v="1"/>
  </r>
  <r>
    <x v="95"/>
    <x v="5"/>
    <s v="Wednesday"/>
    <x v="0"/>
    <x v="45"/>
    <x v="1"/>
    <n v="150"/>
    <x v="4"/>
    <x v="2"/>
  </r>
  <r>
    <x v="95"/>
    <x v="5"/>
    <s v="Wednesday"/>
    <x v="0"/>
    <x v="46"/>
    <x v="0"/>
    <n v="60"/>
    <x v="4"/>
    <x v="2"/>
  </r>
  <r>
    <x v="95"/>
    <x v="5"/>
    <s v="Wednesday"/>
    <x v="0"/>
    <x v="36"/>
    <x v="2"/>
    <n v="70"/>
    <x v="3"/>
    <x v="1"/>
  </r>
  <r>
    <x v="95"/>
    <x v="5"/>
    <s v="Wednesday"/>
    <x v="0"/>
    <x v="28"/>
    <x v="3"/>
    <n v="120"/>
    <x v="0"/>
    <x v="2"/>
  </r>
  <r>
    <x v="96"/>
    <x v="5"/>
    <s v="Saturday"/>
    <x v="0"/>
    <x v="0"/>
    <x v="1"/>
    <n v="150"/>
    <x v="0"/>
    <x v="2"/>
  </r>
  <r>
    <x v="97"/>
    <x v="5"/>
    <s v="Sunday"/>
    <x v="0"/>
    <x v="25"/>
    <x v="1"/>
    <n v="150"/>
    <x v="3"/>
    <x v="2"/>
  </r>
  <r>
    <x v="97"/>
    <x v="5"/>
    <s v="Sunday"/>
    <x v="0"/>
    <x v="40"/>
    <x v="1"/>
    <n v="150"/>
    <x v="2"/>
    <x v="1"/>
  </r>
  <r>
    <x v="98"/>
    <x v="5"/>
    <s v="Monday"/>
    <x v="0"/>
    <x v="25"/>
    <x v="3"/>
    <n v="120"/>
    <x v="1"/>
    <x v="1"/>
  </r>
  <r>
    <x v="98"/>
    <x v="5"/>
    <s v="Monday"/>
    <x v="0"/>
    <x v="8"/>
    <x v="3"/>
    <n v="120"/>
    <x v="2"/>
    <x v="0"/>
  </r>
  <r>
    <x v="99"/>
    <x v="6"/>
    <s v="Tuesday"/>
    <x v="0"/>
    <x v="41"/>
    <x v="0"/>
    <n v="60"/>
    <x v="1"/>
    <x v="0"/>
  </r>
  <r>
    <x v="99"/>
    <x v="6"/>
    <s v="Tuesday"/>
    <x v="0"/>
    <x v="2"/>
    <x v="3"/>
    <n v="120"/>
    <x v="4"/>
    <x v="1"/>
  </r>
  <r>
    <x v="100"/>
    <x v="6"/>
    <s v="Wednesday"/>
    <x v="0"/>
    <x v="25"/>
    <x v="1"/>
    <n v="150"/>
    <x v="4"/>
    <x v="1"/>
  </r>
  <r>
    <x v="101"/>
    <x v="6"/>
    <s v="Thursday"/>
    <x v="0"/>
    <x v="25"/>
    <x v="0"/>
    <n v="60"/>
    <x v="4"/>
    <x v="1"/>
  </r>
  <r>
    <x v="101"/>
    <x v="6"/>
    <s v="Thursday"/>
    <x v="0"/>
    <x v="33"/>
    <x v="3"/>
    <n v="120"/>
    <x v="4"/>
    <x v="2"/>
  </r>
  <r>
    <x v="101"/>
    <x v="6"/>
    <s v="Thursday"/>
    <x v="0"/>
    <x v="37"/>
    <x v="3"/>
    <n v="120"/>
    <x v="0"/>
    <x v="1"/>
  </r>
  <r>
    <x v="102"/>
    <x v="6"/>
    <s v="Sunday"/>
    <x v="0"/>
    <x v="36"/>
    <x v="2"/>
    <n v="70"/>
    <x v="3"/>
    <x v="1"/>
  </r>
  <r>
    <x v="103"/>
    <x v="6"/>
    <s v="Monday"/>
    <x v="0"/>
    <x v="39"/>
    <x v="2"/>
    <n v="70"/>
    <x v="0"/>
    <x v="0"/>
  </r>
  <r>
    <x v="103"/>
    <x v="6"/>
    <s v="Monday"/>
    <x v="0"/>
    <x v="24"/>
    <x v="0"/>
    <n v="60"/>
    <x v="2"/>
    <x v="0"/>
  </r>
  <r>
    <x v="104"/>
    <x v="6"/>
    <s v="Tuesday"/>
    <x v="0"/>
    <x v="30"/>
    <x v="4"/>
    <n v="80"/>
    <x v="3"/>
    <x v="1"/>
  </r>
  <r>
    <x v="105"/>
    <x v="6"/>
    <s v="Wednesday"/>
    <x v="0"/>
    <x v="34"/>
    <x v="0"/>
    <n v="60"/>
    <x v="3"/>
    <x v="0"/>
  </r>
  <r>
    <x v="105"/>
    <x v="6"/>
    <s v="Wednesday"/>
    <x v="0"/>
    <x v="30"/>
    <x v="4"/>
    <n v="80"/>
    <x v="3"/>
    <x v="2"/>
  </r>
  <r>
    <x v="106"/>
    <x v="6"/>
    <s v="Thursday"/>
    <x v="0"/>
    <x v="39"/>
    <x v="1"/>
    <n v="150"/>
    <x v="3"/>
    <x v="1"/>
  </r>
  <r>
    <x v="106"/>
    <x v="6"/>
    <s v="Thursday"/>
    <x v="0"/>
    <x v="19"/>
    <x v="0"/>
    <n v="60"/>
    <x v="1"/>
    <x v="0"/>
  </r>
  <r>
    <x v="106"/>
    <x v="6"/>
    <s v="Thursday"/>
    <x v="0"/>
    <x v="14"/>
    <x v="0"/>
    <n v="60"/>
    <x v="0"/>
    <x v="2"/>
  </r>
  <r>
    <x v="106"/>
    <x v="6"/>
    <s v="Thursday"/>
    <x v="0"/>
    <x v="7"/>
    <x v="1"/>
    <n v="150"/>
    <x v="3"/>
    <x v="0"/>
  </r>
  <r>
    <x v="107"/>
    <x v="6"/>
    <s v="Friday"/>
    <x v="0"/>
    <x v="14"/>
    <x v="0"/>
    <n v="60"/>
    <x v="1"/>
    <x v="1"/>
  </r>
  <r>
    <x v="108"/>
    <x v="6"/>
    <s v="Saturday"/>
    <x v="0"/>
    <x v="3"/>
    <x v="2"/>
    <n v="70"/>
    <x v="0"/>
    <x v="2"/>
  </r>
  <r>
    <x v="108"/>
    <x v="6"/>
    <s v="Saturday"/>
    <x v="0"/>
    <x v="38"/>
    <x v="4"/>
    <n v="80"/>
    <x v="2"/>
    <x v="2"/>
  </r>
  <r>
    <x v="109"/>
    <x v="6"/>
    <s v="Sunday"/>
    <x v="0"/>
    <x v="38"/>
    <x v="0"/>
    <n v="60"/>
    <x v="0"/>
    <x v="0"/>
  </r>
  <r>
    <x v="109"/>
    <x v="6"/>
    <s v="Sunday"/>
    <x v="0"/>
    <x v="7"/>
    <x v="1"/>
    <n v="150"/>
    <x v="1"/>
    <x v="0"/>
  </r>
  <r>
    <x v="110"/>
    <x v="6"/>
    <s v="Tuesday"/>
    <x v="0"/>
    <x v="30"/>
    <x v="2"/>
    <n v="70"/>
    <x v="3"/>
    <x v="1"/>
  </r>
  <r>
    <x v="111"/>
    <x v="6"/>
    <s v="Wednesday"/>
    <x v="0"/>
    <x v="5"/>
    <x v="0"/>
    <n v="60"/>
    <x v="3"/>
    <x v="0"/>
  </r>
  <r>
    <x v="111"/>
    <x v="6"/>
    <s v="Wednesday"/>
    <x v="0"/>
    <x v="43"/>
    <x v="3"/>
    <n v="120"/>
    <x v="2"/>
    <x v="0"/>
  </r>
  <r>
    <x v="112"/>
    <x v="6"/>
    <s v="Thursday"/>
    <x v="0"/>
    <x v="33"/>
    <x v="1"/>
    <n v="150"/>
    <x v="1"/>
    <x v="1"/>
  </r>
  <r>
    <x v="113"/>
    <x v="6"/>
    <s v="Friday"/>
    <x v="0"/>
    <x v="32"/>
    <x v="3"/>
    <n v="120"/>
    <x v="4"/>
    <x v="2"/>
  </r>
  <r>
    <x v="114"/>
    <x v="6"/>
    <s v="Wednesday"/>
    <x v="0"/>
    <x v="46"/>
    <x v="4"/>
    <n v="80"/>
    <x v="4"/>
    <x v="1"/>
  </r>
  <r>
    <x v="114"/>
    <x v="6"/>
    <s v="Wednesday"/>
    <x v="0"/>
    <x v="19"/>
    <x v="3"/>
    <n v="120"/>
    <x v="2"/>
    <x v="1"/>
  </r>
  <r>
    <x v="114"/>
    <x v="6"/>
    <s v="Wednesday"/>
    <x v="0"/>
    <x v="7"/>
    <x v="1"/>
    <n v="150"/>
    <x v="0"/>
    <x v="1"/>
  </r>
  <r>
    <x v="114"/>
    <x v="6"/>
    <s v="Wednesday"/>
    <x v="0"/>
    <x v="12"/>
    <x v="2"/>
    <n v="70"/>
    <x v="1"/>
    <x v="1"/>
  </r>
  <r>
    <x v="114"/>
    <x v="6"/>
    <s v="Wednesday"/>
    <x v="0"/>
    <x v="36"/>
    <x v="3"/>
    <n v="120"/>
    <x v="3"/>
    <x v="2"/>
  </r>
  <r>
    <x v="115"/>
    <x v="6"/>
    <s v="Friday"/>
    <x v="0"/>
    <x v="31"/>
    <x v="3"/>
    <n v="120"/>
    <x v="1"/>
    <x v="0"/>
  </r>
  <r>
    <x v="116"/>
    <x v="6"/>
    <s v="Saturday"/>
    <x v="0"/>
    <x v="6"/>
    <x v="0"/>
    <n v="60"/>
    <x v="2"/>
    <x v="2"/>
  </r>
  <r>
    <x v="116"/>
    <x v="6"/>
    <s v="Saturday"/>
    <x v="0"/>
    <x v="39"/>
    <x v="3"/>
    <n v="120"/>
    <x v="0"/>
    <x v="1"/>
  </r>
  <r>
    <x v="116"/>
    <x v="6"/>
    <s v="Saturday"/>
    <x v="0"/>
    <x v="24"/>
    <x v="3"/>
    <n v="120"/>
    <x v="3"/>
    <x v="2"/>
  </r>
  <r>
    <x v="117"/>
    <x v="6"/>
    <s v="Sunday"/>
    <x v="0"/>
    <x v="20"/>
    <x v="2"/>
    <n v="70"/>
    <x v="0"/>
    <x v="0"/>
  </r>
  <r>
    <x v="118"/>
    <x v="6"/>
    <s v="Wednesday"/>
    <x v="0"/>
    <x v="1"/>
    <x v="4"/>
    <n v="80"/>
    <x v="2"/>
    <x v="2"/>
  </r>
  <r>
    <x v="118"/>
    <x v="6"/>
    <s v="Wednesday"/>
    <x v="0"/>
    <x v="20"/>
    <x v="0"/>
    <n v="60"/>
    <x v="0"/>
    <x v="2"/>
  </r>
  <r>
    <x v="118"/>
    <x v="6"/>
    <s v="Wednesday"/>
    <x v="0"/>
    <x v="8"/>
    <x v="3"/>
    <n v="120"/>
    <x v="3"/>
    <x v="2"/>
  </r>
  <r>
    <x v="119"/>
    <x v="7"/>
    <s v="Friday"/>
    <x v="0"/>
    <x v="42"/>
    <x v="3"/>
    <n v="120"/>
    <x v="2"/>
    <x v="1"/>
  </r>
  <r>
    <x v="120"/>
    <x v="7"/>
    <s v="Monday"/>
    <x v="0"/>
    <x v="29"/>
    <x v="4"/>
    <n v="80"/>
    <x v="0"/>
    <x v="1"/>
  </r>
  <r>
    <x v="121"/>
    <x v="7"/>
    <s v="Thursday"/>
    <x v="0"/>
    <x v="2"/>
    <x v="0"/>
    <n v="60"/>
    <x v="3"/>
    <x v="2"/>
  </r>
  <r>
    <x v="122"/>
    <x v="7"/>
    <s v="Friday"/>
    <x v="0"/>
    <x v="22"/>
    <x v="3"/>
    <n v="120"/>
    <x v="2"/>
    <x v="0"/>
  </r>
  <r>
    <x v="123"/>
    <x v="7"/>
    <s v="Saturday"/>
    <x v="0"/>
    <x v="10"/>
    <x v="1"/>
    <n v="150"/>
    <x v="4"/>
    <x v="0"/>
  </r>
  <r>
    <x v="124"/>
    <x v="7"/>
    <s v="Sunday"/>
    <x v="0"/>
    <x v="20"/>
    <x v="0"/>
    <n v="60"/>
    <x v="4"/>
    <x v="1"/>
  </r>
  <r>
    <x v="125"/>
    <x v="7"/>
    <s v="Monday"/>
    <x v="0"/>
    <x v="36"/>
    <x v="4"/>
    <n v="80"/>
    <x v="0"/>
    <x v="2"/>
  </r>
  <r>
    <x v="126"/>
    <x v="7"/>
    <s v="Tuesday"/>
    <x v="0"/>
    <x v="14"/>
    <x v="4"/>
    <n v="80"/>
    <x v="2"/>
    <x v="0"/>
  </r>
  <r>
    <x v="127"/>
    <x v="7"/>
    <s v="Sunday"/>
    <x v="0"/>
    <x v="11"/>
    <x v="3"/>
    <n v="120"/>
    <x v="0"/>
    <x v="1"/>
  </r>
  <r>
    <x v="127"/>
    <x v="7"/>
    <s v="Sunday"/>
    <x v="0"/>
    <x v="32"/>
    <x v="2"/>
    <n v="70"/>
    <x v="3"/>
    <x v="2"/>
  </r>
  <r>
    <x v="128"/>
    <x v="7"/>
    <s v="Monday"/>
    <x v="0"/>
    <x v="33"/>
    <x v="0"/>
    <n v="60"/>
    <x v="4"/>
    <x v="2"/>
  </r>
  <r>
    <x v="129"/>
    <x v="7"/>
    <s v="Thursday"/>
    <x v="0"/>
    <x v="29"/>
    <x v="2"/>
    <n v="70"/>
    <x v="2"/>
    <x v="0"/>
  </r>
  <r>
    <x v="130"/>
    <x v="7"/>
    <s v="Saturday"/>
    <x v="0"/>
    <x v="8"/>
    <x v="1"/>
    <n v="150"/>
    <x v="2"/>
    <x v="2"/>
  </r>
  <r>
    <x v="131"/>
    <x v="7"/>
    <s v="Monday"/>
    <x v="0"/>
    <x v="32"/>
    <x v="4"/>
    <n v="80"/>
    <x v="1"/>
    <x v="2"/>
  </r>
  <r>
    <x v="131"/>
    <x v="7"/>
    <s v="Monday"/>
    <x v="0"/>
    <x v="30"/>
    <x v="1"/>
    <n v="150"/>
    <x v="3"/>
    <x v="2"/>
  </r>
  <r>
    <x v="131"/>
    <x v="7"/>
    <s v="Monday"/>
    <x v="0"/>
    <x v="38"/>
    <x v="4"/>
    <n v="80"/>
    <x v="4"/>
    <x v="2"/>
  </r>
  <r>
    <x v="132"/>
    <x v="7"/>
    <s v="Tuesday"/>
    <x v="0"/>
    <x v="47"/>
    <x v="2"/>
    <n v="70"/>
    <x v="1"/>
    <x v="1"/>
  </r>
  <r>
    <x v="133"/>
    <x v="7"/>
    <s v="Thursday"/>
    <x v="0"/>
    <x v="33"/>
    <x v="2"/>
    <n v="70"/>
    <x v="0"/>
    <x v="2"/>
  </r>
  <r>
    <x v="134"/>
    <x v="7"/>
    <s v="Friday"/>
    <x v="0"/>
    <x v="15"/>
    <x v="4"/>
    <n v="80"/>
    <x v="4"/>
    <x v="1"/>
  </r>
  <r>
    <x v="134"/>
    <x v="7"/>
    <s v="Friday"/>
    <x v="0"/>
    <x v="7"/>
    <x v="1"/>
    <n v="150"/>
    <x v="0"/>
    <x v="0"/>
  </r>
  <r>
    <x v="134"/>
    <x v="7"/>
    <s v="Friday"/>
    <x v="0"/>
    <x v="13"/>
    <x v="2"/>
    <n v="70"/>
    <x v="3"/>
    <x v="1"/>
  </r>
  <r>
    <x v="135"/>
    <x v="7"/>
    <s v="Sunday"/>
    <x v="0"/>
    <x v="32"/>
    <x v="0"/>
    <n v="60"/>
    <x v="1"/>
    <x v="1"/>
  </r>
  <r>
    <x v="136"/>
    <x v="8"/>
    <s v="Tuesday"/>
    <x v="0"/>
    <x v="37"/>
    <x v="1"/>
    <n v="150"/>
    <x v="4"/>
    <x v="0"/>
  </r>
  <r>
    <x v="136"/>
    <x v="8"/>
    <s v="Tuesday"/>
    <x v="0"/>
    <x v="15"/>
    <x v="2"/>
    <n v="70"/>
    <x v="2"/>
    <x v="2"/>
  </r>
  <r>
    <x v="137"/>
    <x v="8"/>
    <s v="Saturday"/>
    <x v="0"/>
    <x v="18"/>
    <x v="2"/>
    <n v="70"/>
    <x v="4"/>
    <x v="1"/>
  </r>
  <r>
    <x v="138"/>
    <x v="8"/>
    <s v="Wednesday"/>
    <x v="0"/>
    <x v="19"/>
    <x v="1"/>
    <n v="150"/>
    <x v="3"/>
    <x v="1"/>
  </r>
  <r>
    <x v="139"/>
    <x v="8"/>
    <s v="Thursday"/>
    <x v="0"/>
    <x v="39"/>
    <x v="3"/>
    <n v="120"/>
    <x v="3"/>
    <x v="0"/>
  </r>
  <r>
    <x v="139"/>
    <x v="8"/>
    <s v="Thursday"/>
    <x v="0"/>
    <x v="43"/>
    <x v="1"/>
    <n v="150"/>
    <x v="4"/>
    <x v="1"/>
  </r>
  <r>
    <x v="139"/>
    <x v="8"/>
    <s v="Thursday"/>
    <x v="0"/>
    <x v="8"/>
    <x v="4"/>
    <n v="80"/>
    <x v="3"/>
    <x v="1"/>
  </r>
  <r>
    <x v="140"/>
    <x v="8"/>
    <s v="Tuesday"/>
    <x v="0"/>
    <x v="39"/>
    <x v="0"/>
    <n v="60"/>
    <x v="3"/>
    <x v="1"/>
  </r>
  <r>
    <x v="141"/>
    <x v="8"/>
    <s v="Wednesday"/>
    <x v="0"/>
    <x v="5"/>
    <x v="3"/>
    <n v="120"/>
    <x v="3"/>
    <x v="2"/>
  </r>
  <r>
    <x v="142"/>
    <x v="8"/>
    <s v="Thursday"/>
    <x v="0"/>
    <x v="31"/>
    <x v="0"/>
    <n v="60"/>
    <x v="4"/>
    <x v="1"/>
  </r>
  <r>
    <x v="143"/>
    <x v="8"/>
    <s v="Saturday"/>
    <x v="0"/>
    <x v="45"/>
    <x v="2"/>
    <n v="70"/>
    <x v="4"/>
    <x v="0"/>
  </r>
  <r>
    <x v="144"/>
    <x v="8"/>
    <s v="Sunday"/>
    <x v="0"/>
    <x v="13"/>
    <x v="1"/>
    <n v="150"/>
    <x v="4"/>
    <x v="1"/>
  </r>
  <r>
    <x v="144"/>
    <x v="8"/>
    <s v="Sunday"/>
    <x v="0"/>
    <x v="46"/>
    <x v="0"/>
    <n v="60"/>
    <x v="3"/>
    <x v="0"/>
  </r>
  <r>
    <x v="145"/>
    <x v="8"/>
    <s v="Monday"/>
    <x v="0"/>
    <x v="35"/>
    <x v="2"/>
    <n v="70"/>
    <x v="3"/>
    <x v="1"/>
  </r>
  <r>
    <x v="146"/>
    <x v="8"/>
    <s v="Thursday"/>
    <x v="0"/>
    <x v="19"/>
    <x v="2"/>
    <n v="70"/>
    <x v="1"/>
    <x v="1"/>
  </r>
  <r>
    <x v="146"/>
    <x v="8"/>
    <s v="Thursday"/>
    <x v="0"/>
    <x v="12"/>
    <x v="3"/>
    <n v="120"/>
    <x v="3"/>
    <x v="0"/>
  </r>
  <r>
    <x v="147"/>
    <x v="8"/>
    <s v="Friday"/>
    <x v="0"/>
    <x v="32"/>
    <x v="2"/>
    <n v="70"/>
    <x v="4"/>
    <x v="0"/>
  </r>
  <r>
    <x v="148"/>
    <x v="8"/>
    <s v="Monday"/>
    <x v="0"/>
    <x v="37"/>
    <x v="1"/>
    <n v="150"/>
    <x v="0"/>
    <x v="2"/>
  </r>
  <r>
    <x v="149"/>
    <x v="9"/>
    <s v="Wednesday"/>
    <x v="0"/>
    <x v="23"/>
    <x v="4"/>
    <n v="80"/>
    <x v="0"/>
    <x v="1"/>
  </r>
  <r>
    <x v="149"/>
    <x v="9"/>
    <s v="Wednesday"/>
    <x v="0"/>
    <x v="47"/>
    <x v="2"/>
    <n v="70"/>
    <x v="2"/>
    <x v="0"/>
  </r>
  <r>
    <x v="150"/>
    <x v="9"/>
    <s v="Saturday"/>
    <x v="0"/>
    <x v="29"/>
    <x v="0"/>
    <n v="60"/>
    <x v="3"/>
    <x v="1"/>
  </r>
  <r>
    <x v="151"/>
    <x v="9"/>
    <s v="Sunday"/>
    <x v="0"/>
    <x v="37"/>
    <x v="3"/>
    <n v="120"/>
    <x v="0"/>
    <x v="0"/>
  </r>
  <r>
    <x v="152"/>
    <x v="9"/>
    <s v="Monday"/>
    <x v="0"/>
    <x v="26"/>
    <x v="1"/>
    <n v="150"/>
    <x v="1"/>
    <x v="1"/>
  </r>
  <r>
    <x v="153"/>
    <x v="9"/>
    <s v="Thursday"/>
    <x v="0"/>
    <x v="23"/>
    <x v="0"/>
    <n v="60"/>
    <x v="1"/>
    <x v="1"/>
  </r>
  <r>
    <x v="154"/>
    <x v="9"/>
    <s v="Friday"/>
    <x v="0"/>
    <x v="9"/>
    <x v="4"/>
    <n v="80"/>
    <x v="4"/>
    <x v="0"/>
  </r>
  <r>
    <x v="155"/>
    <x v="9"/>
    <s v="Saturday"/>
    <x v="0"/>
    <x v="39"/>
    <x v="4"/>
    <n v="80"/>
    <x v="2"/>
    <x v="1"/>
  </r>
  <r>
    <x v="155"/>
    <x v="9"/>
    <s v="Saturday"/>
    <x v="0"/>
    <x v="38"/>
    <x v="3"/>
    <n v="120"/>
    <x v="2"/>
    <x v="0"/>
  </r>
  <r>
    <x v="156"/>
    <x v="9"/>
    <s v="Sunday"/>
    <x v="0"/>
    <x v="0"/>
    <x v="1"/>
    <n v="150"/>
    <x v="3"/>
    <x v="2"/>
  </r>
  <r>
    <x v="157"/>
    <x v="9"/>
    <s v="Tuesday"/>
    <x v="0"/>
    <x v="15"/>
    <x v="0"/>
    <n v="60"/>
    <x v="3"/>
    <x v="2"/>
  </r>
  <r>
    <x v="158"/>
    <x v="9"/>
    <s v="Wednesday"/>
    <x v="0"/>
    <x v="27"/>
    <x v="4"/>
    <n v="80"/>
    <x v="4"/>
    <x v="0"/>
  </r>
  <r>
    <x v="158"/>
    <x v="9"/>
    <s v="Wednesday"/>
    <x v="0"/>
    <x v="38"/>
    <x v="1"/>
    <n v="150"/>
    <x v="2"/>
    <x v="2"/>
  </r>
  <r>
    <x v="158"/>
    <x v="9"/>
    <s v="Wednesday"/>
    <x v="0"/>
    <x v="40"/>
    <x v="2"/>
    <n v="70"/>
    <x v="1"/>
    <x v="1"/>
  </r>
  <r>
    <x v="159"/>
    <x v="9"/>
    <s v="Monday"/>
    <x v="0"/>
    <x v="43"/>
    <x v="2"/>
    <n v="70"/>
    <x v="1"/>
    <x v="1"/>
  </r>
  <r>
    <x v="160"/>
    <x v="9"/>
    <s v="Wednesday"/>
    <x v="0"/>
    <x v="24"/>
    <x v="4"/>
    <n v="80"/>
    <x v="3"/>
    <x v="2"/>
  </r>
  <r>
    <x v="160"/>
    <x v="9"/>
    <s v="Wednesday"/>
    <x v="0"/>
    <x v="5"/>
    <x v="4"/>
    <n v="80"/>
    <x v="0"/>
    <x v="0"/>
  </r>
  <r>
    <x v="161"/>
    <x v="9"/>
    <s v="Thursday"/>
    <x v="0"/>
    <x v="5"/>
    <x v="2"/>
    <n v="70"/>
    <x v="2"/>
    <x v="2"/>
  </r>
  <r>
    <x v="162"/>
    <x v="9"/>
    <s v="Wednesday"/>
    <x v="0"/>
    <x v="41"/>
    <x v="0"/>
    <n v="60"/>
    <x v="2"/>
    <x v="1"/>
  </r>
  <r>
    <x v="163"/>
    <x v="9"/>
    <s v="Thursday"/>
    <x v="0"/>
    <x v="47"/>
    <x v="1"/>
    <n v="150"/>
    <x v="1"/>
    <x v="1"/>
  </r>
  <r>
    <x v="163"/>
    <x v="9"/>
    <s v="Thursday"/>
    <x v="0"/>
    <x v="25"/>
    <x v="0"/>
    <n v="60"/>
    <x v="2"/>
    <x v="0"/>
  </r>
  <r>
    <x v="163"/>
    <x v="9"/>
    <s v="Thursday"/>
    <x v="0"/>
    <x v="35"/>
    <x v="1"/>
    <n v="150"/>
    <x v="0"/>
    <x v="0"/>
  </r>
  <r>
    <x v="163"/>
    <x v="9"/>
    <s v="Thursday"/>
    <x v="0"/>
    <x v="47"/>
    <x v="2"/>
    <n v="70"/>
    <x v="2"/>
    <x v="1"/>
  </r>
  <r>
    <x v="164"/>
    <x v="9"/>
    <s v="Friday"/>
    <x v="0"/>
    <x v="47"/>
    <x v="3"/>
    <n v="120"/>
    <x v="4"/>
    <x v="2"/>
  </r>
  <r>
    <x v="165"/>
    <x v="10"/>
    <s v="Saturday"/>
    <x v="0"/>
    <x v="27"/>
    <x v="4"/>
    <n v="80"/>
    <x v="1"/>
    <x v="2"/>
  </r>
  <r>
    <x v="166"/>
    <x v="10"/>
    <s v="Sunday"/>
    <x v="0"/>
    <x v="7"/>
    <x v="3"/>
    <n v="120"/>
    <x v="1"/>
    <x v="2"/>
  </r>
  <r>
    <x v="167"/>
    <x v="10"/>
    <s v="Wednesday"/>
    <x v="0"/>
    <x v="6"/>
    <x v="3"/>
    <n v="120"/>
    <x v="4"/>
    <x v="2"/>
  </r>
  <r>
    <x v="168"/>
    <x v="10"/>
    <s v="Saturday"/>
    <x v="0"/>
    <x v="29"/>
    <x v="0"/>
    <n v="60"/>
    <x v="4"/>
    <x v="0"/>
  </r>
  <r>
    <x v="169"/>
    <x v="10"/>
    <s v="Sunday"/>
    <x v="0"/>
    <x v="11"/>
    <x v="3"/>
    <n v="120"/>
    <x v="2"/>
    <x v="2"/>
  </r>
  <r>
    <x v="169"/>
    <x v="10"/>
    <s v="Sunday"/>
    <x v="0"/>
    <x v="3"/>
    <x v="0"/>
    <n v="60"/>
    <x v="2"/>
    <x v="2"/>
  </r>
  <r>
    <x v="170"/>
    <x v="10"/>
    <s v="Monday"/>
    <x v="0"/>
    <x v="44"/>
    <x v="1"/>
    <n v="150"/>
    <x v="1"/>
    <x v="1"/>
  </r>
  <r>
    <x v="171"/>
    <x v="10"/>
    <s v="Friday"/>
    <x v="0"/>
    <x v="44"/>
    <x v="3"/>
    <n v="120"/>
    <x v="2"/>
    <x v="2"/>
  </r>
  <r>
    <x v="172"/>
    <x v="10"/>
    <s v="Saturday"/>
    <x v="0"/>
    <x v="38"/>
    <x v="1"/>
    <n v="150"/>
    <x v="0"/>
    <x v="0"/>
  </r>
  <r>
    <x v="173"/>
    <x v="10"/>
    <s v="Sunday"/>
    <x v="0"/>
    <x v="9"/>
    <x v="3"/>
    <n v="120"/>
    <x v="0"/>
    <x v="0"/>
  </r>
  <r>
    <x v="174"/>
    <x v="10"/>
    <s v="Monday"/>
    <x v="0"/>
    <x v="31"/>
    <x v="2"/>
    <n v="70"/>
    <x v="4"/>
    <x v="2"/>
  </r>
  <r>
    <x v="175"/>
    <x v="10"/>
    <s v="Tuesday"/>
    <x v="0"/>
    <x v="26"/>
    <x v="3"/>
    <n v="120"/>
    <x v="4"/>
    <x v="2"/>
  </r>
  <r>
    <x v="176"/>
    <x v="10"/>
    <s v="Wednesday"/>
    <x v="0"/>
    <x v="40"/>
    <x v="2"/>
    <n v="70"/>
    <x v="2"/>
    <x v="0"/>
  </r>
  <r>
    <x v="177"/>
    <x v="10"/>
    <s v="Thursday"/>
    <x v="0"/>
    <x v="8"/>
    <x v="3"/>
    <n v="120"/>
    <x v="1"/>
    <x v="1"/>
  </r>
  <r>
    <x v="178"/>
    <x v="10"/>
    <s v="Saturday"/>
    <x v="0"/>
    <x v="11"/>
    <x v="2"/>
    <n v="70"/>
    <x v="2"/>
    <x v="0"/>
  </r>
  <r>
    <x v="178"/>
    <x v="10"/>
    <s v="Saturday"/>
    <x v="0"/>
    <x v="38"/>
    <x v="2"/>
    <n v="70"/>
    <x v="2"/>
    <x v="0"/>
  </r>
  <r>
    <x v="179"/>
    <x v="10"/>
    <s v="Monday"/>
    <x v="0"/>
    <x v="23"/>
    <x v="0"/>
    <n v="60"/>
    <x v="2"/>
    <x v="2"/>
  </r>
  <r>
    <x v="180"/>
    <x v="10"/>
    <s v="Tuesday"/>
    <x v="0"/>
    <x v="18"/>
    <x v="1"/>
    <n v="150"/>
    <x v="0"/>
    <x v="1"/>
  </r>
  <r>
    <x v="180"/>
    <x v="10"/>
    <s v="Tuesday"/>
    <x v="0"/>
    <x v="46"/>
    <x v="1"/>
    <n v="150"/>
    <x v="1"/>
    <x v="2"/>
  </r>
  <r>
    <x v="181"/>
    <x v="10"/>
    <s v="Thursday"/>
    <x v="0"/>
    <x v="44"/>
    <x v="3"/>
    <n v="120"/>
    <x v="0"/>
    <x v="0"/>
  </r>
  <r>
    <x v="182"/>
    <x v="10"/>
    <s v="Saturday"/>
    <x v="0"/>
    <x v="40"/>
    <x v="3"/>
    <n v="120"/>
    <x v="4"/>
    <x v="1"/>
  </r>
  <r>
    <x v="183"/>
    <x v="11"/>
    <s v="Monday"/>
    <x v="0"/>
    <x v="22"/>
    <x v="2"/>
    <n v="70"/>
    <x v="0"/>
    <x v="1"/>
  </r>
  <r>
    <x v="184"/>
    <x v="11"/>
    <s v="Tuesday"/>
    <x v="0"/>
    <x v="2"/>
    <x v="3"/>
    <n v="120"/>
    <x v="1"/>
    <x v="2"/>
  </r>
  <r>
    <x v="184"/>
    <x v="11"/>
    <s v="Tuesday"/>
    <x v="0"/>
    <x v="37"/>
    <x v="1"/>
    <n v="150"/>
    <x v="3"/>
    <x v="2"/>
  </r>
  <r>
    <x v="185"/>
    <x v="11"/>
    <s v="Thursday"/>
    <x v="0"/>
    <x v="38"/>
    <x v="2"/>
    <n v="70"/>
    <x v="3"/>
    <x v="0"/>
  </r>
  <r>
    <x v="186"/>
    <x v="11"/>
    <s v="Saturday"/>
    <x v="0"/>
    <x v="28"/>
    <x v="3"/>
    <n v="120"/>
    <x v="4"/>
    <x v="1"/>
  </r>
  <r>
    <x v="187"/>
    <x v="11"/>
    <s v="Sunday"/>
    <x v="0"/>
    <x v="21"/>
    <x v="3"/>
    <n v="120"/>
    <x v="3"/>
    <x v="2"/>
  </r>
  <r>
    <x v="187"/>
    <x v="11"/>
    <s v="Sunday"/>
    <x v="0"/>
    <x v="31"/>
    <x v="2"/>
    <n v="70"/>
    <x v="0"/>
    <x v="2"/>
  </r>
  <r>
    <x v="188"/>
    <x v="11"/>
    <s v="Monday"/>
    <x v="0"/>
    <x v="46"/>
    <x v="2"/>
    <n v="70"/>
    <x v="3"/>
    <x v="2"/>
  </r>
  <r>
    <x v="188"/>
    <x v="11"/>
    <s v="Monday"/>
    <x v="0"/>
    <x v="43"/>
    <x v="2"/>
    <n v="70"/>
    <x v="1"/>
    <x v="2"/>
  </r>
  <r>
    <x v="189"/>
    <x v="11"/>
    <s v="Friday"/>
    <x v="0"/>
    <x v="18"/>
    <x v="2"/>
    <n v="70"/>
    <x v="2"/>
    <x v="1"/>
  </r>
  <r>
    <x v="190"/>
    <x v="11"/>
    <s v="Wednesday"/>
    <x v="0"/>
    <x v="13"/>
    <x v="2"/>
    <n v="70"/>
    <x v="2"/>
    <x v="2"/>
  </r>
  <r>
    <x v="190"/>
    <x v="11"/>
    <s v="Wednesday"/>
    <x v="0"/>
    <x v="37"/>
    <x v="2"/>
    <n v="70"/>
    <x v="0"/>
    <x v="0"/>
  </r>
  <r>
    <x v="191"/>
    <x v="11"/>
    <s v="Friday"/>
    <x v="0"/>
    <x v="1"/>
    <x v="0"/>
    <n v="60"/>
    <x v="3"/>
    <x v="0"/>
  </r>
  <r>
    <x v="192"/>
    <x v="11"/>
    <s v="Monday"/>
    <x v="0"/>
    <x v="21"/>
    <x v="3"/>
    <n v="120"/>
    <x v="1"/>
    <x v="0"/>
  </r>
  <r>
    <x v="193"/>
    <x v="11"/>
    <s v="Wednesday"/>
    <x v="0"/>
    <x v="14"/>
    <x v="2"/>
    <n v="70"/>
    <x v="0"/>
    <x v="0"/>
  </r>
  <r>
    <x v="194"/>
    <x v="11"/>
    <s v="Thursday"/>
    <x v="0"/>
    <x v="10"/>
    <x v="0"/>
    <n v="60"/>
    <x v="1"/>
    <x v="0"/>
  </r>
  <r>
    <x v="194"/>
    <x v="11"/>
    <s v="Thursday"/>
    <x v="0"/>
    <x v="14"/>
    <x v="1"/>
    <n v="150"/>
    <x v="4"/>
    <x v="1"/>
  </r>
  <r>
    <x v="194"/>
    <x v="11"/>
    <s v="Thursday"/>
    <x v="0"/>
    <x v="45"/>
    <x v="1"/>
    <n v="150"/>
    <x v="1"/>
    <x v="1"/>
  </r>
  <r>
    <x v="195"/>
    <x v="11"/>
    <s v="Friday"/>
    <x v="0"/>
    <x v="19"/>
    <x v="3"/>
    <n v="120"/>
    <x v="3"/>
    <x v="1"/>
  </r>
  <r>
    <x v="196"/>
    <x v="11"/>
    <s v="Sunday"/>
    <x v="0"/>
    <x v="18"/>
    <x v="0"/>
    <n v="60"/>
    <x v="4"/>
    <x v="0"/>
  </r>
  <r>
    <x v="197"/>
    <x v="11"/>
    <s v="Tuesday"/>
    <x v="0"/>
    <x v="8"/>
    <x v="3"/>
    <n v="120"/>
    <x v="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d v="2025-01-02T00:00:00"/>
    <s v="Jan"/>
    <s v="Thursday"/>
    <s v="2025"/>
    <s v="Mason Price"/>
    <x v="0"/>
    <x v="0"/>
    <x v="0"/>
    <x v="0"/>
  </r>
  <r>
    <d v="2025-01-02T00:00:00"/>
    <s v="Jan"/>
    <s v="Thursday"/>
    <s v="2025"/>
    <s v="Ella Watson"/>
    <x v="1"/>
    <x v="1"/>
    <x v="1"/>
    <x v="0"/>
  </r>
  <r>
    <d v="2025-01-02T00:00:00"/>
    <s v="Jan"/>
    <s v="Thursday"/>
    <s v="2025"/>
    <s v="Lucas Young"/>
    <x v="0"/>
    <x v="0"/>
    <x v="2"/>
    <x v="1"/>
  </r>
  <r>
    <d v="2025-01-02T00:00:00"/>
    <s v="Jan"/>
    <s v="Thursday"/>
    <s v="2025"/>
    <s v="Lucas Young"/>
    <x v="0"/>
    <x v="0"/>
    <x v="2"/>
    <x v="0"/>
  </r>
  <r>
    <d v="2025-01-05T00:00:00"/>
    <s v="Jan"/>
    <s v="Sunday"/>
    <s v="2025"/>
    <s v="Lucas Young"/>
    <x v="2"/>
    <x v="2"/>
    <x v="2"/>
    <x v="1"/>
  </r>
  <r>
    <d v="2025-01-07T00:00:00"/>
    <s v="Jan"/>
    <s v="Tuesday"/>
    <s v="2025"/>
    <s v="Nora Evans"/>
    <x v="1"/>
    <x v="1"/>
    <x v="1"/>
    <x v="0"/>
  </r>
  <r>
    <d v="2025-01-10T00:00:00"/>
    <s v="Jan"/>
    <s v="Friday"/>
    <s v="2025"/>
    <s v="George Grant"/>
    <x v="1"/>
    <x v="1"/>
    <x v="2"/>
    <x v="0"/>
  </r>
  <r>
    <d v="2025-01-10T00:00:00"/>
    <s v="Jan"/>
    <s v="Friday"/>
    <s v="2025"/>
    <s v="Jackson Moore"/>
    <x v="1"/>
    <x v="1"/>
    <x v="0"/>
    <x v="0"/>
  </r>
  <r>
    <d v="2025-01-11T00:00:00"/>
    <s v="Jan"/>
    <s v="Saturday"/>
    <s v="2025"/>
    <s v="Liam Carter"/>
    <x v="0"/>
    <x v="0"/>
    <x v="0"/>
    <x v="0"/>
  </r>
  <r>
    <d v="2025-01-12T00:00:00"/>
    <s v="Jan"/>
    <s v="Sunday"/>
    <s v="2025"/>
    <s v="Isabella Scott"/>
    <x v="3"/>
    <x v="3"/>
    <x v="3"/>
    <x v="2"/>
  </r>
  <r>
    <d v="2025-01-14T00:00:00"/>
    <s v="Jan"/>
    <s v="Tuesday"/>
    <s v="2025"/>
    <s v="James Miller"/>
    <x v="3"/>
    <x v="3"/>
    <x v="0"/>
    <x v="1"/>
  </r>
  <r>
    <d v="2025-01-18T00:00:00"/>
    <s v="Jan"/>
    <s v="Saturday"/>
    <s v="2025"/>
    <s v="Jacob Reed"/>
    <x v="3"/>
    <x v="3"/>
    <x v="3"/>
    <x v="1"/>
  </r>
  <r>
    <d v="2025-01-18T00:00:00"/>
    <s v="Jan"/>
    <s v="Saturday"/>
    <s v="2025"/>
    <s v="Chloe Parker"/>
    <x v="0"/>
    <x v="0"/>
    <x v="2"/>
    <x v="0"/>
  </r>
  <r>
    <d v="2025-01-19T00:00:00"/>
    <s v="Jan"/>
    <s v="Sunday"/>
    <s v="2025"/>
    <s v="Aubrey Kelly"/>
    <x v="2"/>
    <x v="2"/>
    <x v="2"/>
    <x v="0"/>
  </r>
  <r>
    <d v="2025-01-19T00:00:00"/>
    <s v="Jan"/>
    <s v="Sunday"/>
    <s v="2025"/>
    <s v="Liam Carter"/>
    <x v="3"/>
    <x v="3"/>
    <x v="2"/>
    <x v="1"/>
  </r>
  <r>
    <d v="2025-01-19T00:00:00"/>
    <s v="Jan"/>
    <s v="Sunday"/>
    <s v="2025"/>
    <s v="James Miller"/>
    <x v="4"/>
    <x v="4"/>
    <x v="2"/>
    <x v="2"/>
  </r>
  <r>
    <d v="2025-01-24T00:00:00"/>
    <s v="Jan"/>
    <s v="Friday"/>
    <s v="2025"/>
    <s v="Elijah Brooks"/>
    <x v="1"/>
    <x v="1"/>
    <x v="3"/>
    <x v="0"/>
  </r>
  <r>
    <d v="2025-01-25T00:00:00"/>
    <s v="Jan"/>
    <s v="Saturday"/>
    <s v="2025"/>
    <s v="Nora Evans"/>
    <x v="4"/>
    <x v="4"/>
    <x v="3"/>
    <x v="0"/>
  </r>
  <r>
    <d v="2025-01-28T00:00:00"/>
    <s v="Jan"/>
    <s v="Tuesday"/>
    <s v="2025"/>
    <s v="Brian King"/>
    <x v="4"/>
    <x v="4"/>
    <x v="3"/>
    <x v="0"/>
  </r>
  <r>
    <d v="2025-01-31T00:00:00"/>
    <s v="Jan"/>
    <s v="Friday"/>
    <s v="2025"/>
    <s v="Isabella Scott"/>
    <x v="4"/>
    <x v="4"/>
    <x v="4"/>
    <x v="1"/>
  </r>
  <r>
    <d v="2025-02-02T00:00:00"/>
    <s v="Feb"/>
    <s v="Sunday"/>
    <s v="2025"/>
    <s v="Anthony Davis"/>
    <x v="4"/>
    <x v="4"/>
    <x v="3"/>
    <x v="0"/>
  </r>
  <r>
    <d v="2025-02-02T00:00:00"/>
    <s v="Feb"/>
    <s v="Sunday"/>
    <s v="2025"/>
    <s v="Emily Clark"/>
    <x v="0"/>
    <x v="0"/>
    <x v="1"/>
    <x v="2"/>
  </r>
  <r>
    <d v="2025-02-03T00:00:00"/>
    <s v="Feb"/>
    <s v="Monday"/>
    <s v="2025"/>
    <s v="Kevin Moss"/>
    <x v="0"/>
    <x v="0"/>
    <x v="0"/>
    <x v="1"/>
  </r>
  <r>
    <d v="2025-02-05T00:00:00"/>
    <s v="Feb"/>
    <s v="Wednesday"/>
    <s v="2025"/>
    <s v="Sofia Ramirez"/>
    <x v="3"/>
    <x v="3"/>
    <x v="0"/>
    <x v="1"/>
  </r>
  <r>
    <d v="2025-02-05T00:00:00"/>
    <s v="Feb"/>
    <s v="Wednesday"/>
    <s v="2025"/>
    <s v="James Miller"/>
    <x v="2"/>
    <x v="2"/>
    <x v="1"/>
    <x v="2"/>
  </r>
  <r>
    <d v="2025-02-06T00:00:00"/>
    <s v="Feb"/>
    <s v="Thursday"/>
    <s v="2025"/>
    <s v="Ava Mitchell"/>
    <x v="1"/>
    <x v="1"/>
    <x v="0"/>
    <x v="0"/>
  </r>
  <r>
    <d v="2025-02-09T00:00:00"/>
    <s v="Feb"/>
    <s v="Sunday"/>
    <s v="2025"/>
    <s v="Evelyn Reed"/>
    <x v="0"/>
    <x v="0"/>
    <x v="1"/>
    <x v="1"/>
  </r>
  <r>
    <d v="2025-02-09T00:00:00"/>
    <s v="Feb"/>
    <s v="Sunday"/>
    <s v="2025"/>
    <s v="Elijah Brooks"/>
    <x v="3"/>
    <x v="3"/>
    <x v="2"/>
    <x v="0"/>
  </r>
  <r>
    <d v="2025-02-10T00:00:00"/>
    <s v="Feb"/>
    <s v="Monday"/>
    <s v="2025"/>
    <s v="Aubrey Kelly"/>
    <x v="1"/>
    <x v="1"/>
    <x v="2"/>
    <x v="0"/>
  </r>
  <r>
    <d v="2025-02-10T00:00:00"/>
    <s v="Feb"/>
    <s v="Monday"/>
    <s v="2025"/>
    <s v="Ava Mitchell"/>
    <x v="0"/>
    <x v="0"/>
    <x v="1"/>
    <x v="1"/>
  </r>
  <r>
    <d v="2025-02-10T00:00:00"/>
    <s v="Feb"/>
    <s v="Monday"/>
    <s v="2025"/>
    <s v="Liam Carter"/>
    <x v="1"/>
    <x v="1"/>
    <x v="1"/>
    <x v="1"/>
  </r>
  <r>
    <d v="2025-02-12T00:00:00"/>
    <s v="Feb"/>
    <s v="Wednesday"/>
    <s v="2025"/>
    <s v="Emma White"/>
    <x v="4"/>
    <x v="4"/>
    <x v="4"/>
    <x v="2"/>
  </r>
  <r>
    <d v="2025-02-12T00:00:00"/>
    <s v="Feb"/>
    <s v="Wednesday"/>
    <s v="2025"/>
    <s v="James Miller"/>
    <x v="4"/>
    <x v="4"/>
    <x v="2"/>
    <x v="0"/>
  </r>
  <r>
    <d v="2025-02-14T00:00:00"/>
    <s v="Feb"/>
    <s v="Friday"/>
    <s v="2025"/>
    <s v="Ava Mitchell"/>
    <x v="4"/>
    <x v="4"/>
    <x v="4"/>
    <x v="1"/>
  </r>
  <r>
    <d v="2025-02-15T00:00:00"/>
    <s v="Feb"/>
    <s v="Saturday"/>
    <s v="2025"/>
    <s v="Lucas Young"/>
    <x v="0"/>
    <x v="0"/>
    <x v="0"/>
    <x v="1"/>
  </r>
  <r>
    <d v="2025-02-18T00:00:00"/>
    <s v="Feb"/>
    <s v="Tuesday"/>
    <s v="2025"/>
    <s v="George Grant"/>
    <x v="2"/>
    <x v="2"/>
    <x v="2"/>
    <x v="2"/>
  </r>
  <r>
    <d v="2025-02-19T00:00:00"/>
    <s v="Feb"/>
    <s v="Wednesday"/>
    <s v="2025"/>
    <s v="Victor Stone"/>
    <x v="2"/>
    <x v="2"/>
    <x v="1"/>
    <x v="1"/>
  </r>
  <r>
    <d v="2025-02-19T00:00:00"/>
    <s v="Feb"/>
    <s v="Wednesday"/>
    <s v="2025"/>
    <s v="Liam Carter"/>
    <x v="1"/>
    <x v="1"/>
    <x v="4"/>
    <x v="0"/>
  </r>
  <r>
    <d v="2025-02-19T00:00:00"/>
    <s v="Feb"/>
    <s v="Wednesday"/>
    <s v="2025"/>
    <s v="Aubrey Kelly"/>
    <x v="1"/>
    <x v="1"/>
    <x v="4"/>
    <x v="1"/>
  </r>
  <r>
    <d v="2025-02-20T00:00:00"/>
    <s v="Feb"/>
    <s v="Thursday"/>
    <s v="2025"/>
    <s v="Maria Lopez"/>
    <x v="4"/>
    <x v="4"/>
    <x v="1"/>
    <x v="0"/>
  </r>
  <r>
    <d v="2025-02-21T00:00:00"/>
    <s v="Feb"/>
    <s v="Friday"/>
    <s v="2025"/>
    <s v="Lucas Wright"/>
    <x v="3"/>
    <x v="3"/>
    <x v="2"/>
    <x v="0"/>
  </r>
  <r>
    <d v="2025-02-21T00:00:00"/>
    <s v="Feb"/>
    <s v="Friday"/>
    <s v="2025"/>
    <s v="Mason Collins"/>
    <x v="1"/>
    <x v="1"/>
    <x v="2"/>
    <x v="0"/>
  </r>
  <r>
    <d v="2025-02-22T00:00:00"/>
    <s v="Feb"/>
    <s v="Saturday"/>
    <s v="2025"/>
    <s v="Eddie Jordan"/>
    <x v="3"/>
    <x v="3"/>
    <x v="2"/>
    <x v="0"/>
  </r>
  <r>
    <d v="2025-02-22T00:00:00"/>
    <s v="Feb"/>
    <s v="Saturday"/>
    <s v="2025"/>
    <s v="Emma White"/>
    <x v="0"/>
    <x v="0"/>
    <x v="4"/>
    <x v="0"/>
  </r>
  <r>
    <d v="2025-02-24T00:00:00"/>
    <s v="Feb"/>
    <s v="Monday"/>
    <s v="2025"/>
    <s v="Lucas Wright"/>
    <x v="0"/>
    <x v="0"/>
    <x v="3"/>
    <x v="2"/>
  </r>
  <r>
    <d v="2025-02-26T00:00:00"/>
    <s v="Feb"/>
    <s v="Wednesday"/>
    <s v="2025"/>
    <s v="Logan Parker"/>
    <x v="2"/>
    <x v="2"/>
    <x v="1"/>
    <x v="1"/>
  </r>
  <r>
    <d v="2025-02-27T00:00:00"/>
    <s v="Feb"/>
    <s v="Thursday"/>
    <s v="2025"/>
    <s v="George Grant"/>
    <x v="3"/>
    <x v="3"/>
    <x v="4"/>
    <x v="1"/>
  </r>
  <r>
    <d v="2025-03-01T00:00:00"/>
    <s v="Mar"/>
    <s v="Saturday"/>
    <s v="2025"/>
    <s v="Patrick Lane"/>
    <x v="1"/>
    <x v="1"/>
    <x v="4"/>
    <x v="2"/>
  </r>
  <r>
    <d v="2025-03-02T00:00:00"/>
    <s v="Mar"/>
    <s v="Sunday"/>
    <s v="2025"/>
    <s v="James Miller"/>
    <x v="1"/>
    <x v="1"/>
    <x v="2"/>
    <x v="1"/>
  </r>
  <r>
    <d v="2025-03-03T00:00:00"/>
    <s v="Mar"/>
    <s v="Monday"/>
    <s v="2025"/>
    <s v="Charlotte Turner"/>
    <x v="3"/>
    <x v="3"/>
    <x v="0"/>
    <x v="2"/>
  </r>
  <r>
    <d v="2025-03-03T00:00:00"/>
    <s v="Mar"/>
    <s v="Monday"/>
    <s v="2025"/>
    <s v="Brian King"/>
    <x v="4"/>
    <x v="4"/>
    <x v="4"/>
    <x v="0"/>
  </r>
  <r>
    <d v="2025-03-04T00:00:00"/>
    <s v="Mar"/>
    <s v="Tuesday"/>
    <s v="2025"/>
    <s v="Grace Reed"/>
    <x v="0"/>
    <x v="0"/>
    <x v="4"/>
    <x v="1"/>
  </r>
  <r>
    <d v="2025-03-04T00:00:00"/>
    <s v="Mar"/>
    <s v="Tuesday"/>
    <s v="2025"/>
    <s v="Charlotte Turner"/>
    <x v="2"/>
    <x v="2"/>
    <x v="0"/>
    <x v="2"/>
  </r>
  <r>
    <d v="2025-03-05T00:00:00"/>
    <s v="Mar"/>
    <s v="Wednesday"/>
    <s v="2025"/>
    <s v="Sofia Ramirez"/>
    <x v="4"/>
    <x v="4"/>
    <x v="1"/>
    <x v="1"/>
  </r>
  <r>
    <d v="2025-03-05T00:00:00"/>
    <s v="Mar"/>
    <s v="Wednesday"/>
    <s v="2025"/>
    <s v="Nora Evans"/>
    <x v="3"/>
    <x v="3"/>
    <x v="0"/>
    <x v="0"/>
  </r>
  <r>
    <d v="2025-03-06T00:00:00"/>
    <s v="Mar"/>
    <s v="Thursday"/>
    <s v="2025"/>
    <s v="Kevin Moss"/>
    <x v="4"/>
    <x v="4"/>
    <x v="3"/>
    <x v="0"/>
  </r>
  <r>
    <d v="2025-03-08T00:00:00"/>
    <s v="Mar"/>
    <s v="Saturday"/>
    <s v="2025"/>
    <s v="Carter James"/>
    <x v="3"/>
    <x v="3"/>
    <x v="0"/>
    <x v="2"/>
  </r>
  <r>
    <d v="2025-03-09T00:00:00"/>
    <s v="Mar"/>
    <s v="Sunday"/>
    <s v="2025"/>
    <s v="Ella Watson"/>
    <x v="2"/>
    <x v="2"/>
    <x v="4"/>
    <x v="1"/>
  </r>
  <r>
    <d v="2025-03-13T00:00:00"/>
    <s v="Mar"/>
    <s v="Thursday"/>
    <s v="2025"/>
    <s v="Mason Collins"/>
    <x v="1"/>
    <x v="1"/>
    <x v="2"/>
    <x v="1"/>
  </r>
  <r>
    <d v="2025-03-13T00:00:00"/>
    <s v="Mar"/>
    <s v="Thursday"/>
    <s v="2025"/>
    <s v="Nora Evans"/>
    <x v="3"/>
    <x v="3"/>
    <x v="2"/>
    <x v="2"/>
  </r>
  <r>
    <d v="2025-03-14T00:00:00"/>
    <s v="Mar"/>
    <s v="Friday"/>
    <s v="2025"/>
    <s v="Laura Hill"/>
    <x v="2"/>
    <x v="2"/>
    <x v="4"/>
    <x v="2"/>
  </r>
  <r>
    <d v="2025-03-22T00:00:00"/>
    <s v="Mar"/>
    <s v="Saturday"/>
    <s v="2025"/>
    <s v="Emma White"/>
    <x v="2"/>
    <x v="2"/>
    <x v="2"/>
    <x v="0"/>
  </r>
  <r>
    <d v="2025-03-23T00:00:00"/>
    <s v="Mar"/>
    <s v="Sunday"/>
    <s v="2025"/>
    <s v="Carter James"/>
    <x v="4"/>
    <x v="4"/>
    <x v="0"/>
    <x v="2"/>
  </r>
  <r>
    <d v="2025-03-23T00:00:00"/>
    <s v="Mar"/>
    <s v="Sunday"/>
    <s v="2025"/>
    <s v="Amelia Rivera"/>
    <x v="2"/>
    <x v="2"/>
    <x v="2"/>
    <x v="2"/>
  </r>
  <r>
    <d v="2025-03-23T00:00:00"/>
    <s v="Mar"/>
    <s v="Sunday"/>
    <s v="2025"/>
    <s v="Danny Wilson"/>
    <x v="1"/>
    <x v="1"/>
    <x v="0"/>
    <x v="0"/>
  </r>
  <r>
    <d v="2025-03-24T00:00:00"/>
    <s v="Mar"/>
    <s v="Monday"/>
    <s v="2025"/>
    <s v="Sofia Ramirez"/>
    <x v="2"/>
    <x v="2"/>
    <x v="4"/>
    <x v="0"/>
  </r>
  <r>
    <d v="2025-03-28T00:00:00"/>
    <s v="Mar"/>
    <s v="Friday"/>
    <s v="2025"/>
    <s v="Sophia Martinez"/>
    <x v="4"/>
    <x v="4"/>
    <x v="2"/>
    <x v="2"/>
  </r>
  <r>
    <d v="2025-03-30T00:00:00"/>
    <s v="Mar"/>
    <s v="Sunday"/>
    <s v="2025"/>
    <s v="Patrick Lane"/>
    <x v="4"/>
    <x v="4"/>
    <x v="0"/>
    <x v="0"/>
  </r>
  <r>
    <d v="2025-03-31T00:00:00"/>
    <s v="Mar"/>
    <s v="Monday"/>
    <s v="2025"/>
    <s v="Anthony Davis"/>
    <x v="4"/>
    <x v="4"/>
    <x v="4"/>
    <x v="1"/>
  </r>
  <r>
    <d v="2025-03-31T00:00:00"/>
    <s v="Mar"/>
    <s v="Monday"/>
    <s v="2025"/>
    <s v="Charlotte Turner"/>
    <x v="0"/>
    <x v="0"/>
    <x v="2"/>
    <x v="1"/>
  </r>
  <r>
    <d v="2025-04-02T00:00:00"/>
    <s v="Apr"/>
    <s v="Wednesday"/>
    <s v="2025"/>
    <s v="Oliver Adams"/>
    <x v="3"/>
    <x v="3"/>
    <x v="4"/>
    <x v="1"/>
  </r>
  <r>
    <d v="2025-04-04T00:00:00"/>
    <s v="Apr"/>
    <s v="Friday"/>
    <s v="2025"/>
    <s v="John Doe"/>
    <x v="4"/>
    <x v="4"/>
    <x v="2"/>
    <x v="2"/>
  </r>
  <r>
    <d v="2025-04-06T00:00:00"/>
    <s v="Apr"/>
    <s v="Sunday"/>
    <s v="2025"/>
    <s v="Maria Lopez"/>
    <x v="4"/>
    <x v="4"/>
    <x v="0"/>
    <x v="1"/>
  </r>
  <r>
    <d v="2025-04-07T00:00:00"/>
    <s v="Apr"/>
    <s v="Monday"/>
    <s v="2025"/>
    <s v="Emma White"/>
    <x v="3"/>
    <x v="3"/>
    <x v="4"/>
    <x v="1"/>
  </r>
  <r>
    <d v="2025-04-08T00:00:00"/>
    <s v="Apr"/>
    <s v="Tuesday"/>
    <s v="2025"/>
    <s v="Nora Evans"/>
    <x v="2"/>
    <x v="2"/>
    <x v="2"/>
    <x v="0"/>
  </r>
  <r>
    <d v="2025-04-09T00:00:00"/>
    <s v="Apr"/>
    <s v="Wednesday"/>
    <s v="2025"/>
    <s v="Jacob Reed"/>
    <x v="0"/>
    <x v="0"/>
    <x v="3"/>
    <x v="0"/>
  </r>
  <r>
    <d v="2025-04-09T00:00:00"/>
    <s v="Apr"/>
    <s v="Wednesday"/>
    <s v="2025"/>
    <s v="Evelyn Reed"/>
    <x v="4"/>
    <x v="4"/>
    <x v="3"/>
    <x v="2"/>
  </r>
  <r>
    <d v="2025-04-09T00:00:00"/>
    <s v="Apr"/>
    <s v="Wednesday"/>
    <s v="2025"/>
    <s v="Harper Cole"/>
    <x v="2"/>
    <x v="2"/>
    <x v="0"/>
    <x v="0"/>
  </r>
  <r>
    <d v="2025-04-10T00:00:00"/>
    <s v="Apr"/>
    <s v="Thursday"/>
    <s v="2025"/>
    <s v="Michael Brown"/>
    <x v="0"/>
    <x v="0"/>
    <x v="1"/>
    <x v="0"/>
  </r>
  <r>
    <d v="2025-04-11T00:00:00"/>
    <s v="Apr"/>
    <s v="Friday"/>
    <s v="2025"/>
    <s v="Liam Carter"/>
    <x v="4"/>
    <x v="4"/>
    <x v="3"/>
    <x v="2"/>
  </r>
  <r>
    <d v="2025-04-12T00:00:00"/>
    <s v="Apr"/>
    <s v="Saturday"/>
    <s v="2025"/>
    <s v="Harper Cole"/>
    <x v="3"/>
    <x v="3"/>
    <x v="3"/>
    <x v="1"/>
  </r>
  <r>
    <d v="2025-04-15T00:00:00"/>
    <s v="Apr"/>
    <s v="Tuesday"/>
    <s v="2025"/>
    <s v="Emily Clark"/>
    <x v="1"/>
    <x v="1"/>
    <x v="3"/>
    <x v="2"/>
  </r>
  <r>
    <d v="2025-04-15T00:00:00"/>
    <s v="Apr"/>
    <s v="Tuesday"/>
    <s v="2025"/>
    <s v="James Miller"/>
    <x v="2"/>
    <x v="2"/>
    <x v="1"/>
    <x v="2"/>
  </r>
  <r>
    <d v="2025-04-20T00:00:00"/>
    <s v="Apr"/>
    <s v="Sunday"/>
    <s v="2025"/>
    <s v="Kevin Moss"/>
    <x v="2"/>
    <x v="2"/>
    <x v="1"/>
    <x v="0"/>
  </r>
  <r>
    <d v="2025-04-21T00:00:00"/>
    <s v="Apr"/>
    <s v="Monday"/>
    <s v="2025"/>
    <s v="Victor Stone"/>
    <x v="0"/>
    <x v="0"/>
    <x v="1"/>
    <x v="0"/>
  </r>
  <r>
    <d v="2025-04-21T00:00:00"/>
    <s v="Apr"/>
    <s v="Monday"/>
    <s v="2025"/>
    <s v="Victor Stone"/>
    <x v="1"/>
    <x v="1"/>
    <x v="0"/>
    <x v="1"/>
  </r>
  <r>
    <d v="2025-04-25T00:00:00"/>
    <s v="Apr"/>
    <s v="Friday"/>
    <s v="2025"/>
    <s v="Oliver Adams"/>
    <x v="1"/>
    <x v="1"/>
    <x v="0"/>
    <x v="1"/>
  </r>
  <r>
    <d v="2025-04-27T00:00:00"/>
    <s v="Apr"/>
    <s v="Sunday"/>
    <s v="2025"/>
    <s v="Harper Cole"/>
    <x v="4"/>
    <x v="4"/>
    <x v="0"/>
    <x v="1"/>
  </r>
  <r>
    <d v="2025-04-29T00:00:00"/>
    <s v="Apr"/>
    <s v="Tuesday"/>
    <s v="2025"/>
    <s v="Danny Wilson"/>
    <x v="0"/>
    <x v="0"/>
    <x v="2"/>
    <x v="0"/>
  </r>
  <r>
    <d v="2025-04-30T00:00:00"/>
    <s v="Apr"/>
    <s v="Wednesday"/>
    <s v="2025"/>
    <s v="Kevin Moss"/>
    <x v="0"/>
    <x v="0"/>
    <x v="2"/>
    <x v="1"/>
  </r>
  <r>
    <d v="2025-04-30T00:00:00"/>
    <s v="Apr"/>
    <s v="Wednesday"/>
    <s v="2025"/>
    <s v="Danny Wilson"/>
    <x v="3"/>
    <x v="3"/>
    <x v="4"/>
    <x v="1"/>
  </r>
  <r>
    <d v="2025-05-01T00:00:00"/>
    <s v="May"/>
    <s v="Thursday"/>
    <s v="2025"/>
    <s v="Oliver Adams"/>
    <x v="4"/>
    <x v="4"/>
    <x v="0"/>
    <x v="1"/>
  </r>
  <r>
    <d v="2025-05-01T00:00:00"/>
    <s v="May"/>
    <s v="Thursday"/>
    <s v="2025"/>
    <s v="Jacob Reed"/>
    <x v="2"/>
    <x v="2"/>
    <x v="2"/>
    <x v="1"/>
  </r>
  <r>
    <d v="2025-05-02T00:00:00"/>
    <s v="May"/>
    <s v="Friday"/>
    <s v="2025"/>
    <s v="James Miller"/>
    <x v="1"/>
    <x v="1"/>
    <x v="0"/>
    <x v="1"/>
  </r>
  <r>
    <d v="2025-05-03T00:00:00"/>
    <s v="May"/>
    <s v="Saturday"/>
    <s v="2025"/>
    <s v="Henry Scott"/>
    <x v="3"/>
    <x v="3"/>
    <x v="3"/>
    <x v="0"/>
  </r>
  <r>
    <d v="2025-05-04T00:00:00"/>
    <s v="May"/>
    <s v="Sunday"/>
    <s v="2025"/>
    <s v="Lucas Wright"/>
    <x v="4"/>
    <x v="4"/>
    <x v="2"/>
    <x v="2"/>
  </r>
  <r>
    <d v="2025-05-04T00:00:00"/>
    <s v="May"/>
    <s v="Sunday"/>
    <s v="2025"/>
    <s v="Carter James"/>
    <x v="1"/>
    <x v="1"/>
    <x v="0"/>
    <x v="2"/>
  </r>
  <r>
    <d v="2025-05-11T00:00:00"/>
    <s v="May"/>
    <s v="Sunday"/>
    <s v="2025"/>
    <s v="Emily Clark"/>
    <x v="2"/>
    <x v="2"/>
    <x v="2"/>
    <x v="1"/>
  </r>
  <r>
    <d v="2025-05-12T00:00:00"/>
    <s v="May"/>
    <s v="Monday"/>
    <s v="2025"/>
    <s v="Mason Price"/>
    <x v="4"/>
    <x v="4"/>
    <x v="2"/>
    <x v="1"/>
  </r>
  <r>
    <d v="2025-05-13T00:00:00"/>
    <s v="May"/>
    <s v="Tuesday"/>
    <s v="2025"/>
    <s v="Ethan Hughes"/>
    <x v="3"/>
    <x v="3"/>
    <x v="4"/>
    <x v="2"/>
  </r>
  <r>
    <d v="2025-05-15T00:00:00"/>
    <s v="May"/>
    <s v="Thursday"/>
    <s v="2025"/>
    <s v="Oliver Adams"/>
    <x v="3"/>
    <x v="3"/>
    <x v="2"/>
    <x v="0"/>
  </r>
  <r>
    <d v="2025-05-16T00:00:00"/>
    <s v="May"/>
    <s v="Friday"/>
    <s v="2025"/>
    <s v="Jacob Reed"/>
    <x v="0"/>
    <x v="0"/>
    <x v="4"/>
    <x v="2"/>
  </r>
  <r>
    <d v="2025-05-17T00:00:00"/>
    <s v="May"/>
    <s v="Saturday"/>
    <s v="2025"/>
    <s v="Logan Parker"/>
    <x v="4"/>
    <x v="4"/>
    <x v="2"/>
    <x v="2"/>
  </r>
  <r>
    <d v="2025-05-17T00:00:00"/>
    <s v="May"/>
    <s v="Saturday"/>
    <s v="2025"/>
    <s v="Harper Cole"/>
    <x v="0"/>
    <x v="0"/>
    <x v="1"/>
    <x v="1"/>
  </r>
  <r>
    <d v="2025-05-18T00:00:00"/>
    <s v="May"/>
    <s v="Sunday"/>
    <s v="2025"/>
    <s v="Grace Reed"/>
    <x v="1"/>
    <x v="1"/>
    <x v="4"/>
    <x v="0"/>
  </r>
  <r>
    <d v="2025-05-20T00:00:00"/>
    <s v="May"/>
    <s v="Tuesday"/>
    <s v="2025"/>
    <s v="Selena Ward"/>
    <x v="1"/>
    <x v="1"/>
    <x v="1"/>
    <x v="2"/>
  </r>
  <r>
    <d v="2025-05-20T00:00:00"/>
    <s v="May"/>
    <s v="Tuesday"/>
    <s v="2025"/>
    <s v="Kevin Moss"/>
    <x v="1"/>
    <x v="1"/>
    <x v="3"/>
    <x v="0"/>
  </r>
  <r>
    <d v="2025-05-20T00:00:00"/>
    <s v="May"/>
    <s v="Tuesday"/>
    <s v="2025"/>
    <s v="Mason Collins"/>
    <x v="4"/>
    <x v="4"/>
    <x v="1"/>
    <x v="1"/>
  </r>
  <r>
    <d v="2025-05-21T00:00:00"/>
    <s v="May"/>
    <s v="Wednesday"/>
    <s v="2025"/>
    <s v="Evelyn Reed"/>
    <x v="3"/>
    <x v="3"/>
    <x v="1"/>
    <x v="1"/>
  </r>
  <r>
    <d v="2025-05-21T00:00:00"/>
    <s v="May"/>
    <s v="Wednesday"/>
    <s v="2025"/>
    <s v="Eddie Jordan"/>
    <x v="0"/>
    <x v="0"/>
    <x v="1"/>
    <x v="2"/>
  </r>
  <r>
    <d v="2025-05-27T00:00:00"/>
    <s v="May"/>
    <s v="Tuesday"/>
    <s v="2025"/>
    <s v="Samuel Ross"/>
    <x v="2"/>
    <x v="2"/>
    <x v="0"/>
    <x v="0"/>
  </r>
  <r>
    <d v="2025-05-28T00:00:00"/>
    <s v="May"/>
    <s v="Wednesday"/>
    <s v="2025"/>
    <s v="Oliver Adams"/>
    <x v="2"/>
    <x v="2"/>
    <x v="1"/>
    <x v="2"/>
  </r>
  <r>
    <d v="2025-05-28T00:00:00"/>
    <s v="May"/>
    <s v="Wednesday"/>
    <s v="2025"/>
    <s v="Brian King"/>
    <x v="1"/>
    <x v="1"/>
    <x v="2"/>
    <x v="1"/>
  </r>
  <r>
    <d v="2025-05-28T00:00:00"/>
    <s v="May"/>
    <s v="Wednesday"/>
    <s v="2025"/>
    <s v="Ethan Hughes"/>
    <x v="4"/>
    <x v="4"/>
    <x v="0"/>
    <x v="0"/>
  </r>
  <r>
    <d v="2025-05-29T00:00:00"/>
    <s v="May"/>
    <s v="Thursday"/>
    <s v="2025"/>
    <s v="Evelyn Reed"/>
    <x v="1"/>
    <x v="1"/>
    <x v="0"/>
    <x v="1"/>
  </r>
  <r>
    <d v="2025-05-30T00:00:00"/>
    <s v="May"/>
    <s v="Friday"/>
    <s v="2025"/>
    <s v="Jacob Reed"/>
    <x v="4"/>
    <x v="4"/>
    <x v="0"/>
    <x v="1"/>
  </r>
  <r>
    <d v="2025-05-30T00:00:00"/>
    <s v="May"/>
    <s v="Friday"/>
    <s v="2025"/>
    <s v="Alex Knight"/>
    <x v="0"/>
    <x v="0"/>
    <x v="4"/>
    <x v="0"/>
  </r>
  <r>
    <d v="2025-05-30T00:00:00"/>
    <s v="May"/>
    <s v="Friday"/>
    <s v="2025"/>
    <s v="Henry Scott"/>
    <x v="4"/>
    <x v="4"/>
    <x v="2"/>
    <x v="2"/>
  </r>
  <r>
    <d v="2025-05-30T00:00:00"/>
    <s v="May"/>
    <s v="Friday"/>
    <s v="2025"/>
    <s v="Evelyn Reed"/>
    <x v="0"/>
    <x v="0"/>
    <x v="4"/>
    <x v="0"/>
  </r>
  <r>
    <d v="2025-06-01T00:00:00"/>
    <s v="Jun"/>
    <s v="Sunday"/>
    <s v="2025"/>
    <s v="Danny Wilson"/>
    <x v="4"/>
    <x v="4"/>
    <x v="2"/>
    <x v="0"/>
  </r>
  <r>
    <d v="2025-06-01T00:00:00"/>
    <s v="Jun"/>
    <s v="Sunday"/>
    <s v="2025"/>
    <s v="Ella Watson"/>
    <x v="4"/>
    <x v="4"/>
    <x v="1"/>
    <x v="2"/>
  </r>
  <r>
    <d v="2025-06-02T00:00:00"/>
    <s v="Jun"/>
    <s v="Monday"/>
    <s v="2025"/>
    <s v="Mason Collins"/>
    <x v="1"/>
    <x v="1"/>
    <x v="4"/>
    <x v="1"/>
  </r>
  <r>
    <d v="2025-06-02T00:00:00"/>
    <s v="Jun"/>
    <s v="Monday"/>
    <s v="2025"/>
    <s v="Sarah Lee"/>
    <x v="1"/>
    <x v="1"/>
    <x v="4"/>
    <x v="0"/>
  </r>
  <r>
    <d v="2025-06-02T00:00:00"/>
    <s v="Jun"/>
    <s v="Monday"/>
    <s v="2025"/>
    <s v="Michael Brown"/>
    <x v="4"/>
    <x v="4"/>
    <x v="0"/>
    <x v="1"/>
  </r>
  <r>
    <d v="2025-06-03T00:00:00"/>
    <s v="Jun"/>
    <s v="Tuesday"/>
    <s v="2025"/>
    <s v="Anthony Davis"/>
    <x v="2"/>
    <x v="2"/>
    <x v="2"/>
    <x v="1"/>
  </r>
  <r>
    <d v="2025-06-06T00:00:00"/>
    <s v="Jun"/>
    <s v="Friday"/>
    <s v="2025"/>
    <s v="Evelyn Reed"/>
    <x v="1"/>
    <x v="1"/>
    <x v="1"/>
    <x v="0"/>
  </r>
  <r>
    <d v="2025-06-07T00:00:00"/>
    <s v="Jun"/>
    <s v="Saturday"/>
    <s v="2025"/>
    <s v="Sofia Ramirez"/>
    <x v="4"/>
    <x v="4"/>
    <x v="3"/>
    <x v="1"/>
  </r>
  <r>
    <d v="2025-06-07T00:00:00"/>
    <s v="Jun"/>
    <s v="Saturday"/>
    <s v="2025"/>
    <s v="Nora Evans"/>
    <x v="4"/>
    <x v="4"/>
    <x v="2"/>
    <x v="1"/>
  </r>
  <r>
    <d v="2025-06-08T00:00:00"/>
    <s v="Jun"/>
    <s v="Sunday"/>
    <s v="2025"/>
    <s v="Ethan Hughes"/>
    <x v="2"/>
    <x v="2"/>
    <x v="4"/>
    <x v="0"/>
  </r>
  <r>
    <d v="2025-06-09T00:00:00"/>
    <s v="Jun"/>
    <s v="Monday"/>
    <s v="2025"/>
    <s v="Henry Scott"/>
    <x v="4"/>
    <x v="4"/>
    <x v="2"/>
    <x v="2"/>
  </r>
  <r>
    <d v="2025-06-11T00:00:00"/>
    <s v="Jun"/>
    <s v="Wednesday"/>
    <s v="2025"/>
    <s v="Ella Watson"/>
    <x v="4"/>
    <x v="4"/>
    <x v="4"/>
    <x v="1"/>
  </r>
  <r>
    <d v="2025-06-12T00:00:00"/>
    <s v="Jun"/>
    <s v="Thursday"/>
    <s v="2025"/>
    <s v="Logan Parker"/>
    <x v="3"/>
    <x v="3"/>
    <x v="4"/>
    <x v="2"/>
  </r>
  <r>
    <d v="2025-06-12T00:00:00"/>
    <s v="Jun"/>
    <s v="Thursday"/>
    <s v="2025"/>
    <s v="Emily Clark"/>
    <x v="3"/>
    <x v="3"/>
    <x v="3"/>
    <x v="0"/>
  </r>
  <r>
    <d v="2025-06-13T00:00:00"/>
    <s v="Jun"/>
    <s v="Friday"/>
    <s v="2025"/>
    <s v="Lucas Wright"/>
    <x v="2"/>
    <x v="2"/>
    <x v="0"/>
    <x v="2"/>
  </r>
  <r>
    <d v="2025-06-14T00:00:00"/>
    <s v="Jun"/>
    <s v="Saturday"/>
    <s v="2025"/>
    <s v="Ava Mitchell"/>
    <x v="2"/>
    <x v="2"/>
    <x v="4"/>
    <x v="1"/>
  </r>
  <r>
    <d v="2025-06-14T00:00:00"/>
    <s v="Jun"/>
    <s v="Saturday"/>
    <s v="2025"/>
    <s v="Ethan Hughes"/>
    <x v="3"/>
    <x v="3"/>
    <x v="1"/>
    <x v="0"/>
  </r>
  <r>
    <d v="2025-06-14T00:00:00"/>
    <s v="Jun"/>
    <s v="Saturday"/>
    <s v="2025"/>
    <s v="Carter James"/>
    <x v="2"/>
    <x v="2"/>
    <x v="1"/>
    <x v="2"/>
  </r>
  <r>
    <d v="2025-06-14T00:00:00"/>
    <s v="Jun"/>
    <s v="Saturday"/>
    <s v="2025"/>
    <s v="Danny Wilson"/>
    <x v="4"/>
    <x v="4"/>
    <x v="0"/>
    <x v="1"/>
  </r>
  <r>
    <d v="2025-06-14T00:00:00"/>
    <s v="Jun"/>
    <s v="Saturday"/>
    <s v="2025"/>
    <s v="Mason Collins"/>
    <x v="2"/>
    <x v="2"/>
    <x v="3"/>
    <x v="2"/>
  </r>
  <r>
    <d v="2025-06-16T00:00:00"/>
    <s v="Jun"/>
    <s v="Monday"/>
    <s v="2025"/>
    <s v="Elijah Brooks"/>
    <x v="3"/>
    <x v="3"/>
    <x v="1"/>
    <x v="1"/>
  </r>
  <r>
    <d v="2025-06-17T00:00:00"/>
    <s v="Jun"/>
    <s v="Tuesday"/>
    <s v="2025"/>
    <s v="Isabella Scott"/>
    <x v="1"/>
    <x v="1"/>
    <x v="1"/>
    <x v="1"/>
  </r>
  <r>
    <d v="2025-06-18T00:00:00"/>
    <s v="Jun"/>
    <s v="Wednesday"/>
    <s v="2025"/>
    <s v="Nora Evans"/>
    <x v="2"/>
    <x v="2"/>
    <x v="2"/>
    <x v="0"/>
  </r>
  <r>
    <d v="2025-06-18T00:00:00"/>
    <s v="Jun"/>
    <s v="Wednesday"/>
    <s v="2025"/>
    <s v="Eddie Jordan"/>
    <x v="3"/>
    <x v="3"/>
    <x v="1"/>
    <x v="0"/>
  </r>
  <r>
    <d v="2025-06-18T00:00:00"/>
    <s v="Jun"/>
    <s v="Wednesday"/>
    <s v="2025"/>
    <s v="Eddie Jordan"/>
    <x v="3"/>
    <x v="3"/>
    <x v="4"/>
    <x v="0"/>
  </r>
  <r>
    <d v="2025-06-20T00:00:00"/>
    <s v="Jun"/>
    <s v="Friday"/>
    <s v="2025"/>
    <s v="Anthony Davis"/>
    <x v="2"/>
    <x v="2"/>
    <x v="1"/>
    <x v="1"/>
  </r>
  <r>
    <d v="2025-06-24T00:00:00"/>
    <s v="Jun"/>
    <s v="Tuesday"/>
    <s v="2025"/>
    <s v="Eddie Jordan"/>
    <x v="4"/>
    <x v="4"/>
    <x v="2"/>
    <x v="1"/>
  </r>
  <r>
    <d v="2025-06-25T00:00:00"/>
    <s v="Jun"/>
    <s v="Wednesday"/>
    <s v="2025"/>
    <s v="Mia Foster"/>
    <x v="1"/>
    <x v="1"/>
    <x v="4"/>
    <x v="2"/>
  </r>
  <r>
    <d v="2025-06-25T00:00:00"/>
    <s v="Jun"/>
    <s v="Wednesday"/>
    <s v="2025"/>
    <s v="Olivia Green"/>
    <x v="0"/>
    <x v="0"/>
    <x v="4"/>
    <x v="2"/>
  </r>
  <r>
    <d v="2025-06-25T00:00:00"/>
    <s v="Jun"/>
    <s v="Wednesday"/>
    <s v="2025"/>
    <s v="John Doe"/>
    <x v="2"/>
    <x v="2"/>
    <x v="3"/>
    <x v="1"/>
  </r>
  <r>
    <d v="2025-06-25T00:00:00"/>
    <s v="Jun"/>
    <s v="Wednesday"/>
    <s v="2025"/>
    <s v="Charlotte Turner"/>
    <x v="3"/>
    <x v="3"/>
    <x v="0"/>
    <x v="2"/>
  </r>
  <r>
    <d v="2025-06-28T00:00:00"/>
    <s v="Jun"/>
    <s v="Saturday"/>
    <s v="2025"/>
    <s v="Mason Price"/>
    <x v="1"/>
    <x v="1"/>
    <x v="0"/>
    <x v="2"/>
  </r>
  <r>
    <d v="2025-06-29T00:00:00"/>
    <s v="Jun"/>
    <s v="Sunday"/>
    <s v="2025"/>
    <s v="Eddie Jordan"/>
    <x v="1"/>
    <x v="1"/>
    <x v="3"/>
    <x v="2"/>
  </r>
  <r>
    <d v="2025-06-29T00:00:00"/>
    <s v="Jun"/>
    <s v="Sunday"/>
    <s v="2025"/>
    <s v="Ethan Hughes"/>
    <x v="1"/>
    <x v="1"/>
    <x v="2"/>
    <x v="1"/>
  </r>
  <r>
    <d v="2025-06-30T00:00:00"/>
    <s v="Jun"/>
    <s v="Monday"/>
    <s v="2025"/>
    <s v="Eddie Jordan"/>
    <x v="3"/>
    <x v="3"/>
    <x v="1"/>
    <x v="1"/>
  </r>
  <r>
    <d v="2025-06-30T00:00:00"/>
    <s v="Jun"/>
    <s v="Monday"/>
    <s v="2025"/>
    <s v="James Miller"/>
    <x v="3"/>
    <x v="3"/>
    <x v="2"/>
    <x v="0"/>
  </r>
  <r>
    <d v="2025-07-01T00:00:00"/>
    <s v="Jul"/>
    <s v="Tuesday"/>
    <s v="2025"/>
    <s v="Selena Ward"/>
    <x v="0"/>
    <x v="0"/>
    <x v="1"/>
    <x v="0"/>
  </r>
  <r>
    <d v="2025-07-01T00:00:00"/>
    <s v="Jul"/>
    <s v="Tuesday"/>
    <s v="2025"/>
    <s v="Lucas Young"/>
    <x v="3"/>
    <x v="3"/>
    <x v="4"/>
    <x v="1"/>
  </r>
  <r>
    <d v="2025-07-02T00:00:00"/>
    <s v="Jul"/>
    <s v="Wednesday"/>
    <s v="2025"/>
    <s v="Eddie Jordan"/>
    <x v="1"/>
    <x v="1"/>
    <x v="4"/>
    <x v="1"/>
  </r>
  <r>
    <d v="2025-07-03T00:00:00"/>
    <s v="Jul"/>
    <s v="Thursday"/>
    <s v="2025"/>
    <s v="Eddie Jordan"/>
    <x v="0"/>
    <x v="0"/>
    <x v="4"/>
    <x v="1"/>
  </r>
  <r>
    <d v="2025-07-03T00:00:00"/>
    <s v="Jul"/>
    <s v="Thursday"/>
    <s v="2025"/>
    <s v="Danny Wilson"/>
    <x v="3"/>
    <x v="3"/>
    <x v="4"/>
    <x v="2"/>
  </r>
  <r>
    <d v="2025-07-03T00:00:00"/>
    <s v="Jul"/>
    <s v="Thursday"/>
    <s v="2025"/>
    <s v="Harper Cole"/>
    <x v="3"/>
    <x v="3"/>
    <x v="0"/>
    <x v="1"/>
  </r>
  <r>
    <d v="2025-07-06T00:00:00"/>
    <s v="Jul"/>
    <s v="Sunday"/>
    <s v="2025"/>
    <s v="John Doe"/>
    <x v="2"/>
    <x v="2"/>
    <x v="3"/>
    <x v="1"/>
  </r>
  <r>
    <d v="2025-07-07T00:00:00"/>
    <s v="Jul"/>
    <s v="Monday"/>
    <s v="2025"/>
    <s v="Henry Scott"/>
    <x v="2"/>
    <x v="2"/>
    <x v="0"/>
    <x v="0"/>
  </r>
  <r>
    <d v="2025-07-07T00:00:00"/>
    <s v="Jul"/>
    <s v="Monday"/>
    <s v="2025"/>
    <s v="Mason Collins"/>
    <x v="0"/>
    <x v="0"/>
    <x v="2"/>
    <x v="0"/>
  </r>
  <r>
    <d v="2025-07-08T00:00:00"/>
    <s v="Jul"/>
    <s v="Tuesday"/>
    <s v="2025"/>
    <s v="Carter James"/>
    <x v="4"/>
    <x v="4"/>
    <x v="3"/>
    <x v="1"/>
  </r>
  <r>
    <d v="2025-07-09T00:00:00"/>
    <s v="Jul"/>
    <s v="Wednesday"/>
    <s v="2025"/>
    <s v="Sophia Martinez"/>
    <x v="0"/>
    <x v="0"/>
    <x v="3"/>
    <x v="0"/>
  </r>
  <r>
    <d v="2025-07-09T00:00:00"/>
    <s v="Jul"/>
    <s v="Wednesday"/>
    <s v="2025"/>
    <s v="Carter James"/>
    <x v="4"/>
    <x v="4"/>
    <x v="3"/>
    <x v="2"/>
  </r>
  <r>
    <d v="2025-07-10T00:00:00"/>
    <s v="Jul"/>
    <s v="Thursday"/>
    <s v="2025"/>
    <s v="Henry Scott"/>
    <x v="1"/>
    <x v="1"/>
    <x v="3"/>
    <x v="1"/>
  </r>
  <r>
    <d v="2025-07-10T00:00:00"/>
    <s v="Jul"/>
    <s v="Thursday"/>
    <s v="2025"/>
    <s v="Evelyn Reed"/>
    <x v="0"/>
    <x v="0"/>
    <x v="1"/>
    <x v="0"/>
  </r>
  <r>
    <d v="2025-07-10T00:00:00"/>
    <s v="Jul"/>
    <s v="Thursday"/>
    <s v="2025"/>
    <s v="Anthony Davis"/>
    <x v="0"/>
    <x v="0"/>
    <x v="0"/>
    <x v="2"/>
  </r>
  <r>
    <d v="2025-07-10T00:00:00"/>
    <s v="Jul"/>
    <s v="Thursday"/>
    <s v="2025"/>
    <s v="Isabella Scott"/>
    <x v="1"/>
    <x v="1"/>
    <x v="3"/>
    <x v="0"/>
  </r>
  <r>
    <d v="2025-07-11T00:00:00"/>
    <s v="Jul"/>
    <s v="Friday"/>
    <s v="2025"/>
    <s v="Anthony Davis"/>
    <x v="0"/>
    <x v="0"/>
    <x v="1"/>
    <x v="1"/>
  </r>
  <r>
    <d v="2025-07-12T00:00:00"/>
    <s v="Jul"/>
    <s v="Saturday"/>
    <s v="2025"/>
    <s v="Nora Evans"/>
    <x v="2"/>
    <x v="2"/>
    <x v="0"/>
    <x v="2"/>
  </r>
  <r>
    <d v="2025-07-12T00:00:00"/>
    <s v="Jul"/>
    <s v="Saturday"/>
    <s v="2025"/>
    <s v="Michael Brown"/>
    <x v="4"/>
    <x v="4"/>
    <x v="2"/>
    <x v="2"/>
  </r>
  <r>
    <d v="2025-07-13T00:00:00"/>
    <s v="Jul"/>
    <s v="Sunday"/>
    <s v="2025"/>
    <s v="Michael Brown"/>
    <x v="0"/>
    <x v="0"/>
    <x v="0"/>
    <x v="0"/>
  </r>
  <r>
    <d v="2025-07-13T00:00:00"/>
    <s v="Jul"/>
    <s v="Sunday"/>
    <s v="2025"/>
    <s v="Isabella Scott"/>
    <x v="1"/>
    <x v="1"/>
    <x v="1"/>
    <x v="0"/>
  </r>
  <r>
    <d v="2025-07-15T00:00:00"/>
    <s v="Jul"/>
    <s v="Tuesday"/>
    <s v="2025"/>
    <s v="Carter James"/>
    <x v="2"/>
    <x v="2"/>
    <x v="3"/>
    <x v="1"/>
  </r>
  <r>
    <d v="2025-07-16T00:00:00"/>
    <s v="Jul"/>
    <s v="Wednesday"/>
    <s v="2025"/>
    <s v="Jackson Moore"/>
    <x v="0"/>
    <x v="0"/>
    <x v="3"/>
    <x v="0"/>
  </r>
  <r>
    <d v="2025-07-16T00:00:00"/>
    <s v="Jul"/>
    <s v="Wednesday"/>
    <s v="2025"/>
    <s v="Alex Knight"/>
    <x v="3"/>
    <x v="3"/>
    <x v="2"/>
    <x v="0"/>
  </r>
  <r>
    <d v="2025-07-17T00:00:00"/>
    <s v="Jul"/>
    <s v="Thursday"/>
    <s v="2025"/>
    <s v="Danny Wilson"/>
    <x v="1"/>
    <x v="1"/>
    <x v="1"/>
    <x v="1"/>
  </r>
  <r>
    <d v="2025-07-18T00:00:00"/>
    <s v="Jul"/>
    <s v="Friday"/>
    <s v="2025"/>
    <s v="Amelia Rivera"/>
    <x v="3"/>
    <x v="3"/>
    <x v="4"/>
    <x v="2"/>
  </r>
  <r>
    <d v="2025-07-23T00:00:00"/>
    <s v="Jul"/>
    <s v="Wednesday"/>
    <s v="2025"/>
    <s v="Olivia Green"/>
    <x v="4"/>
    <x v="4"/>
    <x v="4"/>
    <x v="1"/>
  </r>
  <r>
    <d v="2025-07-23T00:00:00"/>
    <s v="Jul"/>
    <s v="Wednesday"/>
    <s v="2025"/>
    <s v="Evelyn Reed"/>
    <x v="3"/>
    <x v="3"/>
    <x v="2"/>
    <x v="1"/>
  </r>
  <r>
    <d v="2025-07-23T00:00:00"/>
    <s v="Jul"/>
    <s v="Wednesday"/>
    <s v="2025"/>
    <s v="Isabella Scott"/>
    <x v="1"/>
    <x v="1"/>
    <x v="0"/>
    <x v="1"/>
  </r>
  <r>
    <d v="2025-07-23T00:00:00"/>
    <s v="Jul"/>
    <s v="Wednesday"/>
    <s v="2025"/>
    <s v="Elijah Brooks"/>
    <x v="2"/>
    <x v="2"/>
    <x v="1"/>
    <x v="1"/>
  </r>
  <r>
    <d v="2025-07-23T00:00:00"/>
    <s v="Jul"/>
    <s v="Wednesday"/>
    <s v="2025"/>
    <s v="John Doe"/>
    <x v="3"/>
    <x v="3"/>
    <x v="3"/>
    <x v="2"/>
  </r>
  <r>
    <d v="2025-07-25T00:00:00"/>
    <s v="Jul"/>
    <s v="Friday"/>
    <s v="2025"/>
    <s v="Laura Hill"/>
    <x v="3"/>
    <x v="3"/>
    <x v="1"/>
    <x v="0"/>
  </r>
  <r>
    <d v="2025-07-26T00:00:00"/>
    <s v="Jul"/>
    <s v="Saturday"/>
    <s v="2025"/>
    <s v="Liam Carter"/>
    <x v="0"/>
    <x v="0"/>
    <x v="2"/>
    <x v="2"/>
  </r>
  <r>
    <d v="2025-07-26T00:00:00"/>
    <s v="Jul"/>
    <s v="Saturday"/>
    <s v="2025"/>
    <s v="Henry Scott"/>
    <x v="3"/>
    <x v="3"/>
    <x v="0"/>
    <x v="1"/>
  </r>
  <r>
    <d v="2025-07-26T00:00:00"/>
    <s v="Jul"/>
    <s v="Saturday"/>
    <s v="2025"/>
    <s v="Mason Collins"/>
    <x v="3"/>
    <x v="3"/>
    <x v="3"/>
    <x v="2"/>
  </r>
  <r>
    <d v="2025-07-27T00:00:00"/>
    <s v="Jul"/>
    <s v="Sunday"/>
    <s v="2025"/>
    <s v="Emma White"/>
    <x v="2"/>
    <x v="2"/>
    <x v="0"/>
    <x v="0"/>
  </r>
  <r>
    <d v="2025-07-30T00:00:00"/>
    <s v="Jul"/>
    <s v="Wednesday"/>
    <s v="2025"/>
    <s v="Ella Watson"/>
    <x v="4"/>
    <x v="4"/>
    <x v="2"/>
    <x v="2"/>
  </r>
  <r>
    <d v="2025-07-30T00:00:00"/>
    <s v="Jul"/>
    <s v="Wednesday"/>
    <s v="2025"/>
    <s v="Emma White"/>
    <x v="0"/>
    <x v="0"/>
    <x v="0"/>
    <x v="2"/>
  </r>
  <r>
    <d v="2025-07-30T00:00:00"/>
    <s v="Jul"/>
    <s v="Wednesday"/>
    <s v="2025"/>
    <s v="James Miller"/>
    <x v="3"/>
    <x v="3"/>
    <x v="3"/>
    <x v="2"/>
  </r>
  <r>
    <d v="2025-08-01T00:00:00"/>
    <s v="Aug"/>
    <s v="Friday"/>
    <s v="2025"/>
    <s v="Samuel Ross"/>
    <x v="3"/>
    <x v="3"/>
    <x v="2"/>
    <x v="1"/>
  </r>
  <r>
    <d v="2025-08-04T00:00:00"/>
    <s v="Aug"/>
    <s v="Monday"/>
    <s v="2025"/>
    <s v="Grace Reed"/>
    <x v="4"/>
    <x v="4"/>
    <x v="0"/>
    <x v="1"/>
  </r>
  <r>
    <d v="2025-08-07T00:00:00"/>
    <s v="Aug"/>
    <s v="Thursday"/>
    <s v="2025"/>
    <s v="Lucas Young"/>
    <x v="0"/>
    <x v="0"/>
    <x v="3"/>
    <x v="2"/>
  </r>
  <r>
    <d v="2025-08-08T00:00:00"/>
    <s v="Aug"/>
    <s v="Friday"/>
    <s v="2025"/>
    <s v="Maria Lopez"/>
    <x v="3"/>
    <x v="3"/>
    <x v="2"/>
    <x v="0"/>
  </r>
  <r>
    <d v="2025-08-09T00:00:00"/>
    <s v="Aug"/>
    <s v="Saturday"/>
    <s v="2025"/>
    <s v="Chloe Parker"/>
    <x v="1"/>
    <x v="1"/>
    <x v="4"/>
    <x v="0"/>
  </r>
  <r>
    <d v="2025-08-10T00:00:00"/>
    <s v="Aug"/>
    <s v="Sunday"/>
    <s v="2025"/>
    <s v="Emma White"/>
    <x v="0"/>
    <x v="0"/>
    <x v="4"/>
    <x v="1"/>
  </r>
  <r>
    <d v="2025-08-11T00:00:00"/>
    <s v="Aug"/>
    <s v="Monday"/>
    <s v="2025"/>
    <s v="John Doe"/>
    <x v="4"/>
    <x v="4"/>
    <x v="0"/>
    <x v="2"/>
  </r>
  <r>
    <d v="2025-08-12T00:00:00"/>
    <s v="Aug"/>
    <s v="Tuesday"/>
    <s v="2025"/>
    <s v="Anthony Davis"/>
    <x v="4"/>
    <x v="4"/>
    <x v="2"/>
    <x v="0"/>
  </r>
  <r>
    <d v="2025-08-17T00:00:00"/>
    <s v="Aug"/>
    <s v="Sunday"/>
    <s v="2025"/>
    <s v="Aubrey Kelly"/>
    <x v="3"/>
    <x v="3"/>
    <x v="0"/>
    <x v="1"/>
  </r>
  <r>
    <d v="2025-08-17T00:00:00"/>
    <s v="Aug"/>
    <s v="Sunday"/>
    <s v="2025"/>
    <s v="Amelia Rivera"/>
    <x v="2"/>
    <x v="2"/>
    <x v="3"/>
    <x v="2"/>
  </r>
  <r>
    <d v="2025-08-18T00:00:00"/>
    <s v="Aug"/>
    <s v="Monday"/>
    <s v="2025"/>
    <s v="Danny Wilson"/>
    <x v="0"/>
    <x v="0"/>
    <x v="4"/>
    <x v="2"/>
  </r>
  <r>
    <d v="2025-08-21T00:00:00"/>
    <s v="Aug"/>
    <s v="Thursday"/>
    <s v="2025"/>
    <s v="Grace Reed"/>
    <x v="2"/>
    <x v="2"/>
    <x v="2"/>
    <x v="0"/>
  </r>
  <r>
    <d v="2025-08-23T00:00:00"/>
    <s v="Aug"/>
    <s v="Saturday"/>
    <s v="2025"/>
    <s v="James Miller"/>
    <x v="1"/>
    <x v="1"/>
    <x v="2"/>
    <x v="2"/>
  </r>
  <r>
    <d v="2025-08-25T00:00:00"/>
    <s v="Aug"/>
    <s v="Monday"/>
    <s v="2025"/>
    <s v="Amelia Rivera"/>
    <x v="4"/>
    <x v="4"/>
    <x v="1"/>
    <x v="2"/>
  </r>
  <r>
    <d v="2025-08-25T00:00:00"/>
    <s v="Aug"/>
    <s v="Monday"/>
    <s v="2025"/>
    <s v="Carter James"/>
    <x v="1"/>
    <x v="1"/>
    <x v="3"/>
    <x v="2"/>
  </r>
  <r>
    <d v="2025-08-25T00:00:00"/>
    <s v="Aug"/>
    <s v="Monday"/>
    <s v="2025"/>
    <s v="Michael Brown"/>
    <x v="4"/>
    <x v="4"/>
    <x v="4"/>
    <x v="2"/>
  </r>
  <r>
    <d v="2025-08-26T00:00:00"/>
    <s v="Aug"/>
    <s v="Tuesday"/>
    <s v="2025"/>
    <s v="Noah Johnson"/>
    <x v="2"/>
    <x v="2"/>
    <x v="1"/>
    <x v="1"/>
  </r>
  <r>
    <d v="2025-08-28T00:00:00"/>
    <s v="Aug"/>
    <s v="Thursday"/>
    <s v="2025"/>
    <s v="Danny Wilson"/>
    <x v="2"/>
    <x v="2"/>
    <x v="0"/>
    <x v="2"/>
  </r>
  <r>
    <d v="2025-08-29T00:00:00"/>
    <s v="Aug"/>
    <s v="Friday"/>
    <s v="2025"/>
    <s v="Emily Clark"/>
    <x v="4"/>
    <x v="4"/>
    <x v="4"/>
    <x v="1"/>
  </r>
  <r>
    <d v="2025-08-29T00:00:00"/>
    <s v="Aug"/>
    <s v="Friday"/>
    <s v="2025"/>
    <s v="Isabella Scott"/>
    <x v="1"/>
    <x v="1"/>
    <x v="0"/>
    <x v="0"/>
  </r>
  <r>
    <d v="2025-08-29T00:00:00"/>
    <s v="Aug"/>
    <s v="Friday"/>
    <s v="2025"/>
    <s v="Brian King"/>
    <x v="2"/>
    <x v="2"/>
    <x v="3"/>
    <x v="1"/>
  </r>
  <r>
    <d v="2025-08-31T00:00:00"/>
    <s v="Aug"/>
    <s v="Sunday"/>
    <s v="2025"/>
    <s v="Amelia Rivera"/>
    <x v="0"/>
    <x v="0"/>
    <x v="1"/>
    <x v="1"/>
  </r>
  <r>
    <d v="2025-09-02T00:00:00"/>
    <s v="Sep"/>
    <s v="Tuesday"/>
    <s v="2025"/>
    <s v="Harper Cole"/>
    <x v="1"/>
    <x v="1"/>
    <x v="4"/>
    <x v="0"/>
  </r>
  <r>
    <d v="2025-09-02T00:00:00"/>
    <s v="Sep"/>
    <s v="Tuesday"/>
    <s v="2025"/>
    <s v="Emily Clark"/>
    <x v="2"/>
    <x v="2"/>
    <x v="2"/>
    <x v="2"/>
  </r>
  <r>
    <d v="2025-09-06T00:00:00"/>
    <s v="Sep"/>
    <s v="Saturday"/>
    <s v="2025"/>
    <s v="Ava Mitchell"/>
    <x v="2"/>
    <x v="2"/>
    <x v="4"/>
    <x v="1"/>
  </r>
  <r>
    <d v="2025-09-10T00:00:00"/>
    <s v="Sep"/>
    <s v="Wednesday"/>
    <s v="2025"/>
    <s v="Evelyn Reed"/>
    <x v="1"/>
    <x v="1"/>
    <x v="3"/>
    <x v="1"/>
  </r>
  <r>
    <d v="2025-09-11T00:00:00"/>
    <s v="Sep"/>
    <s v="Thursday"/>
    <s v="2025"/>
    <s v="Henry Scott"/>
    <x v="3"/>
    <x v="3"/>
    <x v="3"/>
    <x v="0"/>
  </r>
  <r>
    <d v="2025-09-11T00:00:00"/>
    <s v="Sep"/>
    <s v="Thursday"/>
    <s v="2025"/>
    <s v="Alex Knight"/>
    <x v="1"/>
    <x v="1"/>
    <x v="4"/>
    <x v="1"/>
  </r>
  <r>
    <d v="2025-09-11T00:00:00"/>
    <s v="Sep"/>
    <s v="Thursday"/>
    <s v="2025"/>
    <s v="James Miller"/>
    <x v="4"/>
    <x v="4"/>
    <x v="3"/>
    <x v="1"/>
  </r>
  <r>
    <d v="2025-09-16T00:00:00"/>
    <s v="Sep"/>
    <s v="Tuesday"/>
    <s v="2025"/>
    <s v="Henry Scott"/>
    <x v="0"/>
    <x v="0"/>
    <x v="3"/>
    <x v="1"/>
  </r>
  <r>
    <d v="2025-09-17T00:00:00"/>
    <s v="Sep"/>
    <s v="Wednesday"/>
    <s v="2025"/>
    <s v="Jackson Moore"/>
    <x v="3"/>
    <x v="3"/>
    <x v="3"/>
    <x v="2"/>
  </r>
  <r>
    <d v="2025-09-18T00:00:00"/>
    <s v="Sep"/>
    <s v="Thursday"/>
    <s v="2025"/>
    <s v="Laura Hill"/>
    <x v="0"/>
    <x v="0"/>
    <x v="4"/>
    <x v="1"/>
  </r>
  <r>
    <d v="2025-09-20T00:00:00"/>
    <s v="Sep"/>
    <s v="Saturday"/>
    <s v="2025"/>
    <s v="Mia Foster"/>
    <x v="2"/>
    <x v="2"/>
    <x v="4"/>
    <x v="0"/>
  </r>
  <r>
    <d v="2025-09-21T00:00:00"/>
    <s v="Sep"/>
    <s v="Sunday"/>
    <s v="2025"/>
    <s v="Brian King"/>
    <x v="1"/>
    <x v="1"/>
    <x v="4"/>
    <x v="1"/>
  </r>
  <r>
    <d v="2025-09-21T00:00:00"/>
    <s v="Sep"/>
    <s v="Sunday"/>
    <s v="2025"/>
    <s v="Olivia Green"/>
    <x v="0"/>
    <x v="0"/>
    <x v="3"/>
    <x v="0"/>
  </r>
  <r>
    <d v="2025-09-22T00:00:00"/>
    <s v="Sep"/>
    <s v="Monday"/>
    <s v="2025"/>
    <s v="Oliver Adams"/>
    <x v="2"/>
    <x v="2"/>
    <x v="3"/>
    <x v="1"/>
  </r>
  <r>
    <d v="2025-09-25T00:00:00"/>
    <s v="Sep"/>
    <s v="Thursday"/>
    <s v="2025"/>
    <s v="Evelyn Reed"/>
    <x v="2"/>
    <x v="2"/>
    <x v="1"/>
    <x v="1"/>
  </r>
  <r>
    <d v="2025-09-25T00:00:00"/>
    <s v="Sep"/>
    <s v="Thursday"/>
    <s v="2025"/>
    <s v="Elijah Brooks"/>
    <x v="3"/>
    <x v="3"/>
    <x v="3"/>
    <x v="0"/>
  </r>
  <r>
    <d v="2025-09-26T00:00:00"/>
    <s v="Sep"/>
    <s v="Friday"/>
    <s v="2025"/>
    <s v="Amelia Rivera"/>
    <x v="2"/>
    <x v="2"/>
    <x v="4"/>
    <x v="0"/>
  </r>
  <r>
    <d v="2025-09-29T00:00:00"/>
    <s v="Sep"/>
    <s v="Monday"/>
    <s v="2025"/>
    <s v="Harper Cole"/>
    <x v="1"/>
    <x v="1"/>
    <x v="0"/>
    <x v="2"/>
  </r>
  <r>
    <d v="2025-10-01T00:00:00"/>
    <s v="Oct"/>
    <s v="Wednesday"/>
    <s v="2025"/>
    <s v="Lucas Wright"/>
    <x v="4"/>
    <x v="4"/>
    <x v="0"/>
    <x v="1"/>
  </r>
  <r>
    <d v="2025-10-01T00:00:00"/>
    <s v="Oct"/>
    <s v="Wednesday"/>
    <s v="2025"/>
    <s v="Noah Johnson"/>
    <x v="2"/>
    <x v="2"/>
    <x v="2"/>
    <x v="0"/>
  </r>
  <r>
    <d v="2025-10-04T00:00:00"/>
    <s v="Oct"/>
    <s v="Saturday"/>
    <s v="2025"/>
    <s v="Grace Reed"/>
    <x v="0"/>
    <x v="0"/>
    <x v="3"/>
    <x v="1"/>
  </r>
  <r>
    <d v="2025-10-05T00:00:00"/>
    <s v="Oct"/>
    <s v="Sunday"/>
    <s v="2025"/>
    <s v="Harper Cole"/>
    <x v="3"/>
    <x v="3"/>
    <x v="0"/>
    <x v="0"/>
  </r>
  <r>
    <d v="2025-10-06T00:00:00"/>
    <s v="Oct"/>
    <s v="Monday"/>
    <s v="2025"/>
    <s v="Logan Parker"/>
    <x v="1"/>
    <x v="1"/>
    <x v="1"/>
    <x v="1"/>
  </r>
  <r>
    <d v="2025-10-09T00:00:00"/>
    <s v="Oct"/>
    <s v="Thursday"/>
    <s v="2025"/>
    <s v="Lucas Wright"/>
    <x v="0"/>
    <x v="0"/>
    <x v="1"/>
    <x v="1"/>
  </r>
  <r>
    <d v="2025-10-10T00:00:00"/>
    <s v="Oct"/>
    <s v="Friday"/>
    <s v="2025"/>
    <s v="Jacob Reed"/>
    <x v="4"/>
    <x v="4"/>
    <x v="4"/>
    <x v="0"/>
  </r>
  <r>
    <d v="2025-10-11T00:00:00"/>
    <s v="Oct"/>
    <s v="Saturday"/>
    <s v="2025"/>
    <s v="Henry Scott"/>
    <x v="4"/>
    <x v="4"/>
    <x v="2"/>
    <x v="1"/>
  </r>
  <r>
    <d v="2025-10-11T00:00:00"/>
    <s v="Oct"/>
    <s v="Saturday"/>
    <s v="2025"/>
    <s v="Michael Brown"/>
    <x v="3"/>
    <x v="3"/>
    <x v="2"/>
    <x v="0"/>
  </r>
  <r>
    <d v="2025-10-12T00:00:00"/>
    <s v="Oct"/>
    <s v="Sunday"/>
    <s v="2025"/>
    <s v="Mason Price"/>
    <x v="1"/>
    <x v="1"/>
    <x v="3"/>
    <x v="2"/>
  </r>
  <r>
    <d v="2025-10-14T00:00:00"/>
    <s v="Oct"/>
    <s v="Tuesday"/>
    <s v="2025"/>
    <s v="Emily Clark"/>
    <x v="0"/>
    <x v="0"/>
    <x v="3"/>
    <x v="2"/>
  </r>
  <r>
    <d v="2025-10-15T00:00:00"/>
    <s v="Oct"/>
    <s v="Wednesday"/>
    <s v="2025"/>
    <s v="Patrick Lane"/>
    <x v="4"/>
    <x v="4"/>
    <x v="4"/>
    <x v="0"/>
  </r>
  <r>
    <d v="2025-10-15T00:00:00"/>
    <s v="Oct"/>
    <s v="Wednesday"/>
    <s v="2025"/>
    <s v="Michael Brown"/>
    <x v="1"/>
    <x v="1"/>
    <x v="2"/>
    <x v="2"/>
  </r>
  <r>
    <d v="2025-10-15T00:00:00"/>
    <s v="Oct"/>
    <s v="Wednesday"/>
    <s v="2025"/>
    <s v="Ethan Hughes"/>
    <x v="2"/>
    <x v="2"/>
    <x v="1"/>
    <x v="1"/>
  </r>
  <r>
    <d v="2025-10-20T00:00:00"/>
    <s v="Oct"/>
    <s v="Monday"/>
    <s v="2025"/>
    <s v="Alex Knight"/>
    <x v="2"/>
    <x v="2"/>
    <x v="1"/>
    <x v="1"/>
  </r>
  <r>
    <d v="2025-10-22T00:00:00"/>
    <s v="Oct"/>
    <s v="Wednesday"/>
    <s v="2025"/>
    <s v="Mason Collins"/>
    <x v="4"/>
    <x v="4"/>
    <x v="3"/>
    <x v="2"/>
  </r>
  <r>
    <d v="2025-10-22T00:00:00"/>
    <s v="Oct"/>
    <s v="Wednesday"/>
    <s v="2025"/>
    <s v="Jackson Moore"/>
    <x v="4"/>
    <x v="4"/>
    <x v="0"/>
    <x v="0"/>
  </r>
  <r>
    <d v="2025-10-23T00:00:00"/>
    <s v="Oct"/>
    <s v="Thursday"/>
    <s v="2025"/>
    <s v="Jackson Moore"/>
    <x v="2"/>
    <x v="2"/>
    <x v="2"/>
    <x v="2"/>
  </r>
  <r>
    <d v="2025-10-29T00:00:00"/>
    <s v="Oct"/>
    <s v="Wednesday"/>
    <s v="2025"/>
    <s v="Selena Ward"/>
    <x v="0"/>
    <x v="0"/>
    <x v="2"/>
    <x v="1"/>
  </r>
  <r>
    <d v="2025-10-30T00:00:00"/>
    <s v="Oct"/>
    <s v="Thursday"/>
    <s v="2025"/>
    <s v="Noah Johnson"/>
    <x v="1"/>
    <x v="1"/>
    <x v="1"/>
    <x v="1"/>
  </r>
  <r>
    <d v="2025-10-30T00:00:00"/>
    <s v="Oct"/>
    <s v="Thursday"/>
    <s v="2025"/>
    <s v="Eddie Jordan"/>
    <x v="0"/>
    <x v="0"/>
    <x v="2"/>
    <x v="0"/>
  </r>
  <r>
    <d v="2025-10-30T00:00:00"/>
    <s v="Oct"/>
    <s v="Thursday"/>
    <s v="2025"/>
    <s v="Oliver Adams"/>
    <x v="1"/>
    <x v="1"/>
    <x v="0"/>
    <x v="0"/>
  </r>
  <r>
    <d v="2025-10-30T00:00:00"/>
    <s v="Oct"/>
    <s v="Thursday"/>
    <s v="2025"/>
    <s v="Noah Johnson"/>
    <x v="2"/>
    <x v="2"/>
    <x v="2"/>
    <x v="1"/>
  </r>
  <r>
    <d v="2025-10-31T00:00:00"/>
    <s v="Oct"/>
    <s v="Friday"/>
    <s v="2025"/>
    <s v="Noah Johnson"/>
    <x v="3"/>
    <x v="3"/>
    <x v="4"/>
    <x v="2"/>
  </r>
  <r>
    <d v="2025-11-01T00:00:00"/>
    <s v="Nov"/>
    <s v="Saturday"/>
    <s v="2025"/>
    <s v="Patrick Lane"/>
    <x v="4"/>
    <x v="4"/>
    <x v="1"/>
    <x v="2"/>
  </r>
  <r>
    <d v="2025-11-02T00:00:00"/>
    <s v="Nov"/>
    <s v="Sunday"/>
    <s v="2025"/>
    <s v="Isabella Scott"/>
    <x v="3"/>
    <x v="3"/>
    <x v="1"/>
    <x v="2"/>
  </r>
  <r>
    <d v="2025-11-05T00:00:00"/>
    <s v="Nov"/>
    <s v="Wednesday"/>
    <s v="2025"/>
    <s v="Liam Carter"/>
    <x v="3"/>
    <x v="3"/>
    <x v="4"/>
    <x v="2"/>
  </r>
  <r>
    <d v="2025-11-08T00:00:00"/>
    <s v="Nov"/>
    <s v="Saturday"/>
    <s v="2025"/>
    <s v="Grace Reed"/>
    <x v="0"/>
    <x v="0"/>
    <x v="4"/>
    <x v="0"/>
  </r>
  <r>
    <d v="2025-11-09T00:00:00"/>
    <s v="Nov"/>
    <s v="Sunday"/>
    <s v="2025"/>
    <s v="Aubrey Kelly"/>
    <x v="3"/>
    <x v="3"/>
    <x v="2"/>
    <x v="2"/>
  </r>
  <r>
    <d v="2025-11-09T00:00:00"/>
    <s v="Nov"/>
    <s v="Sunday"/>
    <s v="2025"/>
    <s v="Nora Evans"/>
    <x v="0"/>
    <x v="0"/>
    <x v="2"/>
    <x v="2"/>
  </r>
  <r>
    <d v="2025-11-10T00:00:00"/>
    <s v="Nov"/>
    <s v="Monday"/>
    <s v="2025"/>
    <s v="Sarah Lee"/>
    <x v="1"/>
    <x v="1"/>
    <x v="1"/>
    <x v="1"/>
  </r>
  <r>
    <d v="2025-11-14T00:00:00"/>
    <s v="Nov"/>
    <s v="Friday"/>
    <s v="2025"/>
    <s v="Sarah Lee"/>
    <x v="3"/>
    <x v="3"/>
    <x v="2"/>
    <x v="2"/>
  </r>
  <r>
    <d v="2025-11-15T00:00:00"/>
    <s v="Nov"/>
    <s v="Saturday"/>
    <s v="2025"/>
    <s v="Michael Brown"/>
    <x v="1"/>
    <x v="1"/>
    <x v="0"/>
    <x v="0"/>
  </r>
  <r>
    <d v="2025-11-16T00:00:00"/>
    <s v="Nov"/>
    <s v="Sunday"/>
    <s v="2025"/>
    <s v="Jacob Reed"/>
    <x v="3"/>
    <x v="3"/>
    <x v="0"/>
    <x v="0"/>
  </r>
  <r>
    <d v="2025-11-17T00:00:00"/>
    <s v="Nov"/>
    <s v="Monday"/>
    <s v="2025"/>
    <s v="Laura Hill"/>
    <x v="2"/>
    <x v="2"/>
    <x v="4"/>
    <x v="2"/>
  </r>
  <r>
    <d v="2025-11-18T00:00:00"/>
    <s v="Nov"/>
    <s v="Tuesday"/>
    <s v="2025"/>
    <s v="Logan Parker"/>
    <x v="3"/>
    <x v="3"/>
    <x v="4"/>
    <x v="2"/>
  </r>
  <r>
    <d v="2025-11-19T00:00:00"/>
    <s v="Nov"/>
    <s v="Wednesday"/>
    <s v="2025"/>
    <s v="Ethan Hughes"/>
    <x v="2"/>
    <x v="2"/>
    <x v="2"/>
    <x v="0"/>
  </r>
  <r>
    <d v="2025-11-20T00:00:00"/>
    <s v="Nov"/>
    <s v="Thursday"/>
    <s v="2025"/>
    <s v="James Miller"/>
    <x v="3"/>
    <x v="3"/>
    <x v="1"/>
    <x v="1"/>
  </r>
  <r>
    <d v="2025-11-22T00:00:00"/>
    <s v="Nov"/>
    <s v="Saturday"/>
    <s v="2025"/>
    <s v="Aubrey Kelly"/>
    <x v="2"/>
    <x v="2"/>
    <x v="2"/>
    <x v="0"/>
  </r>
  <r>
    <d v="2025-11-22T00:00:00"/>
    <s v="Nov"/>
    <s v="Saturday"/>
    <s v="2025"/>
    <s v="Michael Brown"/>
    <x v="2"/>
    <x v="2"/>
    <x v="2"/>
    <x v="0"/>
  </r>
  <r>
    <d v="2025-11-24T00:00:00"/>
    <s v="Nov"/>
    <s v="Monday"/>
    <s v="2025"/>
    <s v="Lucas Wright"/>
    <x v="0"/>
    <x v="0"/>
    <x v="2"/>
    <x v="2"/>
  </r>
  <r>
    <d v="2025-11-25T00:00:00"/>
    <s v="Nov"/>
    <s v="Tuesday"/>
    <s v="2025"/>
    <s v="Ava Mitchell"/>
    <x v="1"/>
    <x v="1"/>
    <x v="0"/>
    <x v="1"/>
  </r>
  <r>
    <d v="2025-11-25T00:00:00"/>
    <s v="Nov"/>
    <s v="Tuesday"/>
    <s v="2025"/>
    <s v="Olivia Green"/>
    <x v="1"/>
    <x v="1"/>
    <x v="1"/>
    <x v="2"/>
  </r>
  <r>
    <d v="2025-11-27T00:00:00"/>
    <s v="Nov"/>
    <s v="Thursday"/>
    <s v="2025"/>
    <s v="Sarah Lee"/>
    <x v="3"/>
    <x v="3"/>
    <x v="0"/>
    <x v="0"/>
  </r>
  <r>
    <d v="2025-11-29T00:00:00"/>
    <s v="Nov"/>
    <s v="Saturday"/>
    <s v="2025"/>
    <s v="Ethan Hughes"/>
    <x v="3"/>
    <x v="3"/>
    <x v="4"/>
    <x v="1"/>
  </r>
  <r>
    <d v="2025-12-01T00:00:00"/>
    <s v="Dec"/>
    <s v="Monday"/>
    <s v="2025"/>
    <s v="Maria Lopez"/>
    <x v="2"/>
    <x v="2"/>
    <x v="0"/>
    <x v="1"/>
  </r>
  <r>
    <d v="2025-12-02T00:00:00"/>
    <s v="Dec"/>
    <s v="Tuesday"/>
    <s v="2025"/>
    <s v="Lucas Young"/>
    <x v="3"/>
    <x v="3"/>
    <x v="1"/>
    <x v="2"/>
  </r>
  <r>
    <d v="2025-12-02T00:00:00"/>
    <s v="Dec"/>
    <s v="Tuesday"/>
    <s v="2025"/>
    <s v="Harper Cole"/>
    <x v="1"/>
    <x v="1"/>
    <x v="3"/>
    <x v="2"/>
  </r>
  <r>
    <d v="2025-12-04T00:00:00"/>
    <s v="Dec"/>
    <s v="Thursday"/>
    <s v="2025"/>
    <s v="Michael Brown"/>
    <x v="2"/>
    <x v="2"/>
    <x v="3"/>
    <x v="0"/>
  </r>
  <r>
    <d v="2025-12-06T00:00:00"/>
    <s v="Dec"/>
    <s v="Saturday"/>
    <s v="2025"/>
    <s v="Charlotte Turner"/>
    <x v="3"/>
    <x v="3"/>
    <x v="4"/>
    <x v="1"/>
  </r>
  <r>
    <d v="2025-12-07T00:00:00"/>
    <s v="Dec"/>
    <s v="Sunday"/>
    <s v="2025"/>
    <s v="Victor Stone"/>
    <x v="3"/>
    <x v="3"/>
    <x v="3"/>
    <x v="2"/>
  </r>
  <r>
    <d v="2025-12-07T00:00:00"/>
    <s v="Dec"/>
    <s v="Sunday"/>
    <s v="2025"/>
    <s v="Laura Hill"/>
    <x v="2"/>
    <x v="2"/>
    <x v="0"/>
    <x v="2"/>
  </r>
  <r>
    <d v="2025-12-08T00:00:00"/>
    <s v="Dec"/>
    <s v="Monday"/>
    <s v="2025"/>
    <s v="Olivia Green"/>
    <x v="2"/>
    <x v="2"/>
    <x v="3"/>
    <x v="2"/>
  </r>
  <r>
    <d v="2025-12-08T00:00:00"/>
    <s v="Dec"/>
    <s v="Monday"/>
    <s v="2025"/>
    <s v="Alex Knight"/>
    <x v="2"/>
    <x v="2"/>
    <x v="1"/>
    <x v="2"/>
  </r>
  <r>
    <d v="2025-12-12T00:00:00"/>
    <s v="Dec"/>
    <s v="Friday"/>
    <s v="2025"/>
    <s v="Ava Mitchell"/>
    <x v="2"/>
    <x v="2"/>
    <x v="2"/>
    <x v="1"/>
  </r>
  <r>
    <d v="2025-12-17T00:00:00"/>
    <s v="Dec"/>
    <s v="Wednesday"/>
    <s v="2025"/>
    <s v="Brian King"/>
    <x v="2"/>
    <x v="2"/>
    <x v="2"/>
    <x v="2"/>
  </r>
  <r>
    <d v="2025-12-17T00:00:00"/>
    <s v="Dec"/>
    <s v="Wednesday"/>
    <s v="2025"/>
    <s v="Harper Cole"/>
    <x v="2"/>
    <x v="2"/>
    <x v="0"/>
    <x v="0"/>
  </r>
  <r>
    <d v="2025-12-19T00:00:00"/>
    <s v="Dec"/>
    <s v="Friday"/>
    <s v="2025"/>
    <s v="Ella Watson"/>
    <x v="0"/>
    <x v="0"/>
    <x v="3"/>
    <x v="0"/>
  </r>
  <r>
    <d v="2025-12-22T00:00:00"/>
    <s v="Dec"/>
    <s v="Monday"/>
    <s v="2025"/>
    <s v="Victor Stone"/>
    <x v="3"/>
    <x v="3"/>
    <x v="1"/>
    <x v="0"/>
  </r>
  <r>
    <d v="2025-12-24T00:00:00"/>
    <s v="Dec"/>
    <s v="Wednesday"/>
    <s v="2025"/>
    <s v="Anthony Davis"/>
    <x v="2"/>
    <x v="2"/>
    <x v="0"/>
    <x v="0"/>
  </r>
  <r>
    <d v="2025-12-25T00:00:00"/>
    <s v="Dec"/>
    <s v="Thursday"/>
    <s v="2025"/>
    <s v="Chloe Parker"/>
    <x v="0"/>
    <x v="0"/>
    <x v="1"/>
    <x v="0"/>
  </r>
  <r>
    <d v="2025-12-25T00:00:00"/>
    <s v="Dec"/>
    <s v="Thursday"/>
    <s v="2025"/>
    <s v="Anthony Davis"/>
    <x v="1"/>
    <x v="1"/>
    <x v="4"/>
    <x v="1"/>
  </r>
  <r>
    <d v="2025-12-25T00:00:00"/>
    <s v="Dec"/>
    <s v="Thursday"/>
    <s v="2025"/>
    <s v="Mia Foster"/>
    <x v="1"/>
    <x v="1"/>
    <x v="1"/>
    <x v="1"/>
  </r>
  <r>
    <d v="2025-12-26T00:00:00"/>
    <s v="Dec"/>
    <s v="Friday"/>
    <s v="2025"/>
    <s v="Evelyn Reed"/>
    <x v="3"/>
    <x v="3"/>
    <x v="3"/>
    <x v="1"/>
  </r>
  <r>
    <d v="2025-12-28T00:00:00"/>
    <s v="Dec"/>
    <s v="Sunday"/>
    <s v="2025"/>
    <s v="Ava Mitchell"/>
    <x v="0"/>
    <x v="0"/>
    <x v="4"/>
    <x v="0"/>
  </r>
  <r>
    <d v="2025-12-30T00:00:00"/>
    <s v="Dec"/>
    <s v="Tuesday"/>
    <s v="2025"/>
    <s v="James Miller"/>
    <x v="3"/>
    <x v="3"/>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E74A05-4EDA-4CF0-B15A-DE3D1C85BE22}"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21:N127" firstHeaderRow="1" firstDataRow="1" firstDataCol="1"/>
  <pivotFields count="9">
    <pivotField numFmtId="14" showAll="0"/>
    <pivotField showAll="0"/>
    <pivotField showAll="0"/>
    <pivotField showAll="0"/>
    <pivotField showAll="0"/>
    <pivotField showAll="0"/>
    <pivotField numFmtId="166" showAll="0"/>
    <pivotField axis="axisRow" dataField="1"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6">
    <i>
      <x v="1"/>
    </i>
    <i>
      <x/>
    </i>
    <i>
      <x v="4"/>
    </i>
    <i>
      <x v="2"/>
    </i>
    <i>
      <x v="3"/>
    </i>
    <i t="grand">
      <x/>
    </i>
  </rowItems>
  <colItems count="1">
    <i/>
  </colItems>
  <dataFields count="1">
    <dataField name="Count of Location"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0DEC3E-9479-4E6E-9B57-53EA52B39127}"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0:N116" firstHeaderRow="1" firstDataRow="1" firstDataCol="1"/>
  <pivotFields count="9">
    <pivotField numFmtId="14" showAll="0"/>
    <pivotField showAll="0"/>
    <pivotField showAll="0"/>
    <pivotField showAll="0"/>
    <pivotField showAll="0"/>
    <pivotField axis="axisRow" dataField="1" showAll="0" sortType="descending">
      <items count="6">
        <item x="4"/>
        <item x="0"/>
        <item x="1"/>
        <item x="2"/>
        <item x="3"/>
        <item t="default"/>
      </items>
      <autoSortScope>
        <pivotArea dataOnly="0" outline="0" fieldPosition="0">
          <references count="1">
            <reference field="4294967294" count="1" selected="0">
              <x v="0"/>
            </reference>
          </references>
        </pivotArea>
      </autoSortScope>
    </pivotField>
    <pivotField numFmtId="166" showAll="0"/>
    <pivotField showAll="0"/>
    <pivotField showAll="0"/>
  </pivotFields>
  <rowFields count="1">
    <field x="5"/>
  </rowFields>
  <rowItems count="6">
    <i>
      <x v="4"/>
    </i>
    <i>
      <x v="3"/>
    </i>
    <i>
      <x v="2"/>
    </i>
    <i>
      <x/>
    </i>
    <i>
      <x v="1"/>
    </i>
    <i t="grand">
      <x/>
    </i>
  </rowItems>
  <colItems count="1">
    <i/>
  </colItems>
  <dataFields count="1">
    <dataField name="Count of Servic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B441CB-84B5-404D-B53C-C668CABE1BD8}"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9:K120" firstHeaderRow="0" firstDataRow="1" firstDataCol="1"/>
  <pivotFields count="9">
    <pivotField numFmtId="14" showAll="0"/>
    <pivotField showAll="0"/>
    <pivotField showAll="0"/>
    <pivotField showAll="0"/>
    <pivotField showAll="0"/>
    <pivotField axis="axisRow" dataField="1" showAll="0">
      <items count="6">
        <item x="4"/>
        <item x="0"/>
        <item x="1"/>
        <item x="2"/>
        <item x="3"/>
        <item t="default"/>
      </items>
    </pivotField>
    <pivotField axis="axisRow" dataField="1" numFmtId="166" showAll="0">
      <items count="6">
        <item x="0"/>
        <item x="2"/>
        <item x="4"/>
        <item x="3"/>
        <item x="1"/>
        <item t="default"/>
      </items>
    </pivotField>
    <pivotField showAll="0"/>
    <pivotField showAll="0"/>
  </pivotFields>
  <rowFields count="2">
    <field x="6"/>
    <field x="5"/>
  </rowFields>
  <rowItems count="11">
    <i>
      <x/>
    </i>
    <i r="1">
      <x v="1"/>
    </i>
    <i>
      <x v="1"/>
    </i>
    <i r="1">
      <x v="3"/>
    </i>
    <i>
      <x v="2"/>
    </i>
    <i r="1">
      <x/>
    </i>
    <i>
      <x v="3"/>
    </i>
    <i r="1">
      <x v="4"/>
    </i>
    <i>
      <x v="4"/>
    </i>
    <i r="1">
      <x v="2"/>
    </i>
    <i t="grand">
      <x/>
    </i>
  </rowItems>
  <colFields count="1">
    <field x="-2"/>
  </colFields>
  <colItems count="3">
    <i>
      <x/>
    </i>
    <i i="1">
      <x v="1"/>
    </i>
    <i i="2">
      <x v="2"/>
    </i>
  </colItems>
  <dataFields count="3">
    <dataField name="Sum of Price" fld="6" baseField="0" baseItem="0" numFmtId="166"/>
    <dataField name="Count of Service" fld="5" subtotal="count" baseField="0" baseItem="0"/>
    <dataField name="Average of Price2" fld="6" subtotal="average" baseField="6"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4B23C5-B30E-4B85-BE18-527655ED445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0:C149" firstHeaderRow="1" firstDataRow="1" firstDataCol="1"/>
  <pivotFields count="11">
    <pivotField numFmtId="14" showAll="0">
      <items count="1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showAll="0">
      <items count="13">
        <item x="0"/>
        <item x="1"/>
        <item x="2"/>
        <item x="3"/>
        <item x="4"/>
        <item x="5"/>
        <item x="6"/>
        <item x="7"/>
        <item x="8"/>
        <item x="9"/>
        <item x="10"/>
        <item x="11"/>
        <item t="default"/>
      </items>
    </pivotField>
    <pivotField showAll="0"/>
    <pivotField showAll="0">
      <items count="2">
        <item x="0"/>
        <item t="default"/>
      </items>
    </pivotField>
    <pivotField axis="axisRow" showAll="0">
      <items count="49">
        <item x="43"/>
        <item x="32"/>
        <item x="14"/>
        <item x="11"/>
        <item x="18"/>
        <item x="13"/>
        <item x="30"/>
        <item x="28"/>
        <item x="10"/>
        <item x="33"/>
        <item x="25"/>
        <item x="12"/>
        <item x="1"/>
        <item x="15"/>
        <item x="20"/>
        <item x="40"/>
        <item x="19"/>
        <item x="4"/>
        <item x="29"/>
        <item x="37"/>
        <item x="39"/>
        <item x="7"/>
        <item x="5"/>
        <item x="9"/>
        <item x="8"/>
        <item x="36"/>
        <item x="16"/>
        <item x="31"/>
        <item x="6"/>
        <item x="26"/>
        <item x="23"/>
        <item x="2"/>
        <item x="22"/>
        <item x="24"/>
        <item x="0"/>
        <item x="45"/>
        <item x="38"/>
        <item x="47"/>
        <item x="3"/>
        <item x="35"/>
        <item x="46"/>
        <item x="27"/>
        <item x="42"/>
        <item x="44"/>
        <item x="41"/>
        <item x="17"/>
        <item x="34"/>
        <item x="21"/>
        <item t="default"/>
      </items>
    </pivotField>
    <pivotField showAll="0"/>
    <pivotField dataField="1" numFmtId="166" showAll="0"/>
    <pivotField showAll="0">
      <items count="6">
        <item x="4"/>
        <item x="2"/>
        <item x="1"/>
        <item x="3"/>
        <item x="0"/>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9">
    <i>
      <x v="24"/>
    </i>
    <i>
      <x v="16"/>
    </i>
    <i>
      <x v="19"/>
    </i>
    <i>
      <x v="21"/>
    </i>
    <i>
      <x v="10"/>
    </i>
    <i>
      <x v="36"/>
    </i>
    <i>
      <x v="9"/>
    </i>
    <i>
      <x v="20"/>
    </i>
    <i>
      <x v="33"/>
    </i>
    <i>
      <x v="38"/>
    </i>
    <i>
      <x v="6"/>
    </i>
    <i>
      <x v="15"/>
    </i>
    <i>
      <x v="39"/>
    </i>
    <i>
      <x v="28"/>
    </i>
    <i>
      <x v="2"/>
    </i>
    <i>
      <x v="4"/>
    </i>
    <i>
      <x v="3"/>
    </i>
    <i>
      <x v="13"/>
    </i>
    <i>
      <x v="5"/>
    </i>
    <i>
      <x v="23"/>
    </i>
    <i>
      <x v="11"/>
    </i>
    <i>
      <x v="31"/>
    </i>
    <i>
      <x v="43"/>
    </i>
    <i>
      <x v="29"/>
    </i>
    <i>
      <x v="30"/>
    </i>
    <i>
      <x v="12"/>
    </i>
    <i>
      <x v="14"/>
    </i>
    <i>
      <x v="47"/>
    </i>
    <i>
      <x v="7"/>
    </i>
    <i>
      <x v="37"/>
    </i>
    <i>
      <x v="22"/>
    </i>
    <i>
      <x v="18"/>
    </i>
    <i>
      <x v="1"/>
    </i>
    <i>
      <x/>
    </i>
    <i>
      <x v="34"/>
    </i>
    <i>
      <x v="40"/>
    </i>
    <i>
      <x v="25"/>
    </i>
    <i>
      <x v="26"/>
    </i>
    <i>
      <x v="27"/>
    </i>
    <i>
      <x v="41"/>
    </i>
    <i>
      <x v="35"/>
    </i>
    <i>
      <x v="45"/>
    </i>
    <i>
      <x v="32"/>
    </i>
    <i>
      <x v="17"/>
    </i>
    <i>
      <x v="44"/>
    </i>
    <i>
      <x v="8"/>
    </i>
    <i>
      <x v="42"/>
    </i>
    <i>
      <x v="46"/>
    </i>
    <i t="grand">
      <x/>
    </i>
  </rowItems>
  <colItems count="1">
    <i/>
  </colItems>
  <dataFields count="1">
    <dataField name="Sum of Price" fld="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B753D0-BF4A-4C3E-BC4D-F028D092CD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00:I106" firstHeaderRow="1" firstDataRow="1" firstDataCol="1"/>
  <pivotFields count="11">
    <pivotField numFmtId="14" showAll="0">
      <items count="1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showAll="0">
      <items count="13">
        <item x="0"/>
        <item x="1"/>
        <item x="2"/>
        <item x="3"/>
        <item x="4"/>
        <item x="5"/>
        <item x="6"/>
        <item x="7"/>
        <item x="8"/>
        <item x="9"/>
        <item x="10"/>
        <item x="11"/>
        <item t="default"/>
      </items>
    </pivotField>
    <pivotField showAll="0"/>
    <pivotField showAll="0">
      <items count="2">
        <item x="0"/>
        <item t="default"/>
      </items>
    </pivotField>
    <pivotField showAll="0"/>
    <pivotField axis="axisRow" showAll="0">
      <items count="6">
        <item x="4"/>
        <item x="0"/>
        <item x="1"/>
        <item x="2"/>
        <item x="3"/>
        <item t="default"/>
      </items>
    </pivotField>
    <pivotField dataField="1" numFmtId="166" showAll="0"/>
    <pivotField showAll="0">
      <items count="6">
        <item x="4"/>
        <item x="2"/>
        <item x="1"/>
        <item x="3"/>
        <item x="0"/>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Price" fld="6"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083131-0AA9-4557-9DEF-A7C6346845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00:F113" firstHeaderRow="1" firstDataRow="1" firstDataCol="1"/>
  <pivotFields count="11">
    <pivotField numFmtId="14" showAll="0">
      <items count="1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axis="axisRow" showAll="0" sortType="ascending">
      <items count="13">
        <item x="0"/>
        <item x="1"/>
        <item x="2"/>
        <item x="3"/>
        <item x="4"/>
        <item x="5"/>
        <item x="6"/>
        <item x="7"/>
        <item x="8"/>
        <item x="9"/>
        <item x="10"/>
        <item x="11"/>
        <item t="default"/>
      </items>
    </pivotField>
    <pivotField showAll="0"/>
    <pivotField showAll="0">
      <items count="2">
        <item x="0"/>
        <item t="default"/>
      </items>
    </pivotField>
    <pivotField showAll="0"/>
    <pivotField showAll="0"/>
    <pivotField dataField="1" numFmtId="166" showAll="0"/>
    <pivotField showAll="0">
      <items count="6">
        <item x="4"/>
        <item x="2"/>
        <item x="1"/>
        <item x="3"/>
        <item x="0"/>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Price" fld="6" baseField="0" baseItem="0" numFmtId="166"/>
  </dataField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D3E2EA-269D-465E-9325-8001B23CDCFA}"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101:S105" firstHeaderRow="1" firstDataRow="1" firstDataCol="1"/>
  <pivotFields count="9">
    <pivotField numFmtId="14" showAll="0"/>
    <pivotField showAll="0"/>
    <pivotField showAll="0"/>
    <pivotField showAll="0"/>
    <pivotField showAll="0"/>
    <pivotField showAll="0"/>
    <pivotField numFmtId="166" showAll="0"/>
    <pivotField showAll="0"/>
    <pivotField axis="axisRow" dataField="1" showAll="0">
      <items count="4">
        <item x="0"/>
        <item x="1"/>
        <item x="2"/>
        <item t="default"/>
      </items>
    </pivotField>
  </pivotFields>
  <rowFields count="1">
    <field x="8"/>
  </rowFields>
  <rowItems count="4">
    <i>
      <x/>
    </i>
    <i>
      <x v="1"/>
    </i>
    <i>
      <x v="2"/>
    </i>
    <i t="grand">
      <x/>
    </i>
  </rowItems>
  <colItems count="1">
    <i/>
  </colItems>
  <dataFields count="1">
    <dataField name="Count of Payment Type" fld="8" subtotal="count" baseField="0" baseItem="0"/>
  </dataFields>
  <chartFormats count="4">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8" count="1" selected="0">
            <x v="0"/>
          </reference>
        </references>
      </pivotArea>
    </chartFormat>
    <chartFormat chart="0" format="14">
      <pivotArea type="data" outline="0" fieldPosition="0">
        <references count="2">
          <reference field="4294967294" count="1" selected="0">
            <x v="0"/>
          </reference>
          <reference field="8" count="1" selected="0">
            <x v="1"/>
          </reference>
        </references>
      </pivotArea>
    </chartFormat>
    <chartFormat chart="0" format="1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761BAC-B506-4B50-98CE-27C2104FB8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01:L107" firstHeaderRow="1" firstDataRow="1" firstDataCol="1"/>
  <pivotFields count="11">
    <pivotField numFmtId="14" showAll="0">
      <items count="1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showAll="0">
      <items count="13">
        <item x="0"/>
        <item x="1"/>
        <item x="2"/>
        <item x="3"/>
        <item x="4"/>
        <item x="5"/>
        <item x="6"/>
        <item x="7"/>
        <item x="8"/>
        <item x="9"/>
        <item x="10"/>
        <item x="11"/>
        <item t="default"/>
      </items>
    </pivotField>
    <pivotField showAll="0"/>
    <pivotField showAll="0">
      <items count="2">
        <item x="0"/>
        <item t="default"/>
      </items>
    </pivotField>
    <pivotField showAll="0"/>
    <pivotField showAll="0"/>
    <pivotField dataField="1" numFmtId="166" showAll="0"/>
    <pivotField axis="axisRow" showAll="0">
      <items count="6">
        <item x="4"/>
        <item x="2"/>
        <item x="1"/>
        <item x="3"/>
        <item x="0"/>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Sum of Price" fld="6"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EDD37AD-0253-48D0-8E7F-23B3129B3039}" sourceName="Month">
  <pivotTables>
    <pivotTable tabId="2" name="PivotTable2"/>
    <pivotTable tabId="2" name="PivotTable1"/>
    <pivotTable tabId="2" name="PivotTable3"/>
    <pivotTable tabId="2" name="PivotTable4"/>
  </pivotTables>
  <data>
    <tabular pivotCacheId="14952379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5FFAB2-3BC9-492F-A11A-C100993C349D}" sourceName="Year">
  <pivotTables>
    <pivotTable tabId="2" name="PivotTable2"/>
    <pivotTable tabId="2" name="PivotTable1"/>
    <pivotTable tabId="2" name="PivotTable3"/>
    <pivotTable tabId="2" name="PivotTable4"/>
  </pivotTables>
  <data>
    <tabular pivotCacheId="149523794">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8AECAFE-4ECD-44DC-BE2C-578D4DA36362}" sourceName="Location">
  <pivotTables>
    <pivotTable tabId="2" name="PivotTable2"/>
    <pivotTable tabId="2" name="PivotTable1"/>
    <pivotTable tabId="2" name="PivotTable3"/>
    <pivotTable tabId="2" name="PivotTable4"/>
  </pivotTables>
  <data>
    <tabular pivotCacheId="149523794">
      <items count="5">
        <i x="4" s="1"/>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1CAF0D5B-FB25-4083-AEAF-997A602BED6B}" sourceName="Payment Type">
  <pivotTables>
    <pivotTable tabId="2" name="PivotTable2"/>
    <pivotTable tabId="2" name="PivotTable1"/>
    <pivotTable tabId="2" name="PivotTable3"/>
    <pivotTable tabId="2" name="PivotTable4"/>
  </pivotTables>
  <data>
    <tabular pivotCacheId="14952379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1D9CB2B-4DDF-488C-B3FC-4651AA67A8E1}" cache="Slicer_Month" caption="Month" startItem="3" rowHeight="241300"/>
  <slicer name="Year" xr10:uid="{4AC24091-D6D2-44C3-9A90-36B8C6143E80}" cache="Slicer_Year" caption="Year" rowHeight="241300"/>
  <slicer name="Location" xr10:uid="{639F35BE-EEDA-448D-A448-93FE47E97BCA}" cache="Slicer_Location" caption="Location" rowHeight="241300"/>
  <slicer name="Payment Type" xr10:uid="{0680938D-3274-4252-9051-2771EFB401F5}" cache="Slicer_Payment_Type" caption="Payment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976D06-1448-4B13-B043-E87826E15CF4}" name="Table5" displayName="Table5" ref="A1:I301" totalsRowShown="0" headerRowDxfId="10" dataDxfId="9">
  <autoFilter ref="A1:I301" xr:uid="{52976D06-1448-4B13-B043-E87826E15CF4}"/>
  <tableColumns count="9">
    <tableColumn id="1" xr3:uid="{CDE0843C-DE37-4BE2-AE33-59B4A4BA39A4}" name="Date" dataDxfId="8"/>
    <tableColumn id="2" xr3:uid="{F5543374-CEC3-454B-9BCB-3BBC578D3E23}" name="Month" dataDxfId="7">
      <calculatedColumnFormula>TEXT('Brand New Mobile Details Data'!$A2,"MMM")</calculatedColumnFormula>
    </tableColumn>
    <tableColumn id="3" xr3:uid="{BC68A1C0-9B91-4397-B990-B34B61654CBC}" name="Weekday" dataDxfId="6">
      <calculatedColumnFormula>TEXT('Brand New Mobile Details Data'!$A2,"dddd")</calculatedColumnFormula>
    </tableColumn>
    <tableColumn id="4" xr3:uid="{8D02C84E-8F6A-4E41-ABFF-A5CB25C73BA7}" name="Year" dataDxfId="5">
      <calculatedColumnFormula>TEXT('Brand New Mobile Details Data'!$A2,"yyyy")</calculatedColumnFormula>
    </tableColumn>
    <tableColumn id="5" xr3:uid="{A4CBE3EF-5B95-49E6-957A-53A4D17D0427}" name="Clean Customer Name" dataDxfId="4"/>
    <tableColumn id="6" xr3:uid="{93B591EF-8CEC-48C2-A453-4381609AA125}" name="Service" dataDxfId="3"/>
    <tableColumn id="7" xr3:uid="{8D6182AF-FCF0-4BAF-876C-2E87D287D318}" name="Price" dataDxfId="2"/>
    <tableColumn id="8" xr3:uid="{5D4C7352-CE29-4FC8-98AF-ABE6A62615DB}" name="Location" dataDxfId="1"/>
    <tableColumn id="9" xr3:uid="{93C76180-CABA-45C9-B936-2F98E8829B8F}" name="Payment Typ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1"/>
  <sheetViews>
    <sheetView topLeftCell="A2" workbookViewId="0">
      <selection activeCell="N26" sqref="N26"/>
    </sheetView>
  </sheetViews>
  <sheetFormatPr defaultRowHeight="14.5" x14ac:dyDescent="0.35"/>
  <cols>
    <col min="1" max="1" width="10.08984375" style="11" bestFit="1" customWidth="1"/>
    <col min="2" max="2" width="10.08984375" style="11" customWidth="1"/>
    <col min="3" max="3" width="10.90625" style="11" customWidth="1"/>
    <col min="4" max="4" width="10.08984375" style="1" customWidth="1"/>
    <col min="5" max="5" width="21.7265625" customWidth="1"/>
    <col min="6" max="6" width="19.6328125" bestFit="1" customWidth="1"/>
    <col min="7" max="7" width="7.453125" bestFit="1" customWidth="1"/>
    <col min="8" max="8" width="12.90625" bestFit="1" customWidth="1"/>
    <col min="9" max="9" width="15.36328125" bestFit="1" customWidth="1"/>
    <col min="13" max="13" width="10.36328125" customWidth="1"/>
  </cols>
  <sheetData>
    <row r="1" spans="1:9" ht="15" thickBot="1" x14ac:dyDescent="0.4">
      <c r="A1" s="10" t="s">
        <v>0</v>
      </c>
      <c r="B1" s="17" t="s">
        <v>67</v>
      </c>
      <c r="C1" s="17" t="s">
        <v>69</v>
      </c>
      <c r="D1" s="18" t="s">
        <v>68</v>
      </c>
      <c r="E1" s="4" t="s">
        <v>66</v>
      </c>
      <c r="F1" s="4" t="s">
        <v>1</v>
      </c>
      <c r="G1" s="4" t="s">
        <v>2</v>
      </c>
      <c r="H1" s="4" t="s">
        <v>3</v>
      </c>
      <c r="I1" s="4" t="s">
        <v>4</v>
      </c>
    </row>
    <row r="2" spans="1:9" ht="15" thickTop="1" x14ac:dyDescent="0.35">
      <c r="A2" s="13">
        <v>45659</v>
      </c>
      <c r="B2" s="19" t="str">
        <f>TEXT('Brand New Mobile Details Data'!$A2,"MMM")</f>
        <v>Jan</v>
      </c>
      <c r="C2" s="19" t="str">
        <f>TEXT('Brand New Mobile Details Data'!$A2,"dddd")</f>
        <v>Thursday</v>
      </c>
      <c r="D2" s="20" t="str">
        <f>TEXT('Brand New Mobile Details Data'!$A2,"yyyy")</f>
        <v>2025</v>
      </c>
      <c r="E2" s="5" t="s">
        <v>51</v>
      </c>
      <c r="F2" s="5" t="s">
        <v>10</v>
      </c>
      <c r="G2" s="6">
        <v>60</v>
      </c>
      <c r="H2" s="5" t="s">
        <v>15</v>
      </c>
      <c r="I2" s="5" t="s">
        <v>12</v>
      </c>
    </row>
    <row r="3" spans="1:9" x14ac:dyDescent="0.35">
      <c r="A3" s="12">
        <v>45659</v>
      </c>
      <c r="B3" s="21" t="str">
        <f>TEXT('Brand New Mobile Details Data'!$A3,"MMM")</f>
        <v>Jan</v>
      </c>
      <c r="C3" s="21" t="str">
        <f>TEXT('Brand New Mobile Details Data'!$A3,"dddd")</f>
        <v>Thursday</v>
      </c>
      <c r="D3" s="22" t="str">
        <f>TEXT('Brand New Mobile Details Data'!$A3,"yyyy")</f>
        <v>2025</v>
      </c>
      <c r="E3" s="3" t="s">
        <v>50</v>
      </c>
      <c r="F3" s="3" t="s">
        <v>6</v>
      </c>
      <c r="G3" s="7">
        <v>150</v>
      </c>
      <c r="H3" s="3" t="s">
        <v>11</v>
      </c>
      <c r="I3" s="3" t="s">
        <v>12</v>
      </c>
    </row>
    <row r="4" spans="1:9" x14ac:dyDescent="0.35">
      <c r="A4" s="14">
        <v>45659</v>
      </c>
      <c r="B4" s="23" t="str">
        <f>TEXT('Brand New Mobile Details Data'!$A4,"MMM")</f>
        <v>Jan</v>
      </c>
      <c r="C4" s="23" t="str">
        <f>TEXT('Brand New Mobile Details Data'!$A4,"dddd")</f>
        <v>Thursday</v>
      </c>
      <c r="D4" s="24" t="str">
        <f>TEXT('Brand New Mobile Details Data'!$A4,"yyyy")</f>
        <v>2025</v>
      </c>
      <c r="E4" s="8" t="s">
        <v>24</v>
      </c>
      <c r="F4" s="8" t="s">
        <v>10</v>
      </c>
      <c r="G4" s="9">
        <v>60</v>
      </c>
      <c r="H4" s="8" t="s">
        <v>19</v>
      </c>
      <c r="I4" s="8" t="s">
        <v>16</v>
      </c>
    </row>
    <row r="5" spans="1:9" x14ac:dyDescent="0.35">
      <c r="A5" s="12">
        <v>45659</v>
      </c>
      <c r="B5" s="21" t="str">
        <f>TEXT('Brand New Mobile Details Data'!$A5,"MMM")</f>
        <v>Jan</v>
      </c>
      <c r="C5" s="21" t="str">
        <f>TEXT('Brand New Mobile Details Data'!$A5,"dddd")</f>
        <v>Thursday</v>
      </c>
      <c r="D5" s="22" t="str">
        <f>TEXT('Brand New Mobile Details Data'!$A5,"yyyy")</f>
        <v>2025</v>
      </c>
      <c r="E5" s="3" t="s">
        <v>24</v>
      </c>
      <c r="F5" s="3" t="s">
        <v>10</v>
      </c>
      <c r="G5" s="7">
        <v>60</v>
      </c>
      <c r="H5" s="3" t="s">
        <v>19</v>
      </c>
      <c r="I5" s="3" t="s">
        <v>12</v>
      </c>
    </row>
    <row r="6" spans="1:9" x14ac:dyDescent="0.35">
      <c r="A6" s="14">
        <v>45662</v>
      </c>
      <c r="B6" s="23" t="str">
        <f>TEXT('Brand New Mobile Details Data'!$A6,"MMM")</f>
        <v>Jan</v>
      </c>
      <c r="C6" s="23" t="str">
        <f>TEXT('Brand New Mobile Details Data'!$A6,"dddd")</f>
        <v>Sunday</v>
      </c>
      <c r="D6" s="24" t="str">
        <f>TEXT('Brand New Mobile Details Data'!$A6,"yyyy")</f>
        <v>2025</v>
      </c>
      <c r="E6" s="8" t="s">
        <v>24</v>
      </c>
      <c r="F6" s="8" t="s">
        <v>18</v>
      </c>
      <c r="G6" s="9">
        <v>70</v>
      </c>
      <c r="H6" s="8" t="s">
        <v>19</v>
      </c>
      <c r="I6" s="8" t="s">
        <v>16</v>
      </c>
    </row>
    <row r="7" spans="1:9" x14ac:dyDescent="0.35">
      <c r="A7" s="14">
        <v>45664</v>
      </c>
      <c r="B7" s="23" t="str">
        <f>TEXT('Brand New Mobile Details Data'!$A7,"MMM")</f>
        <v>Jan</v>
      </c>
      <c r="C7" s="23" t="str">
        <f>TEXT('Brand New Mobile Details Data'!$A7,"dddd")</f>
        <v>Tuesday</v>
      </c>
      <c r="D7" s="24" t="str">
        <f>TEXT('Brand New Mobile Details Data'!$A7,"yyyy")</f>
        <v>2025</v>
      </c>
      <c r="E7" s="8" t="s">
        <v>17</v>
      </c>
      <c r="F7" s="8" t="s">
        <v>6</v>
      </c>
      <c r="G7" s="9">
        <v>150</v>
      </c>
      <c r="H7" s="8" t="s">
        <v>11</v>
      </c>
      <c r="I7" s="8" t="s">
        <v>12</v>
      </c>
    </row>
    <row r="8" spans="1:9" x14ac:dyDescent="0.35">
      <c r="A8" s="12">
        <v>45667</v>
      </c>
      <c r="B8" s="21" t="str">
        <f>TEXT('Brand New Mobile Details Data'!$A8,"MMM")</f>
        <v>Jan</v>
      </c>
      <c r="C8" s="21" t="str">
        <f>TEXT('Brand New Mobile Details Data'!$A8,"dddd")</f>
        <v>Friday</v>
      </c>
      <c r="D8" s="22" t="str">
        <f>TEXT('Brand New Mobile Details Data'!$A8,"yyyy")</f>
        <v>2025</v>
      </c>
      <c r="E8" s="3" t="s">
        <v>39</v>
      </c>
      <c r="F8" s="3" t="s">
        <v>6</v>
      </c>
      <c r="G8" s="7">
        <v>150</v>
      </c>
      <c r="H8" s="3" t="s">
        <v>19</v>
      </c>
      <c r="I8" s="3" t="s">
        <v>12</v>
      </c>
    </row>
    <row r="9" spans="1:9" x14ac:dyDescent="0.35">
      <c r="A9" s="12">
        <v>45667</v>
      </c>
      <c r="B9" s="21" t="str">
        <f>TEXT('Brand New Mobile Details Data'!$A9,"MMM")</f>
        <v>Jan</v>
      </c>
      <c r="C9" s="21" t="str">
        <f>TEXT('Brand New Mobile Details Data'!$A9,"dddd")</f>
        <v>Friday</v>
      </c>
      <c r="D9" s="22" t="str">
        <f>TEXT('Brand New Mobile Details Data'!$A9,"yyyy")</f>
        <v>2025</v>
      </c>
      <c r="E9" s="3" t="s">
        <v>46</v>
      </c>
      <c r="F9" s="3" t="s">
        <v>6</v>
      </c>
      <c r="G9" s="7">
        <v>150</v>
      </c>
      <c r="H9" s="3" t="s">
        <v>15</v>
      </c>
      <c r="I9" s="3" t="s">
        <v>12</v>
      </c>
    </row>
    <row r="10" spans="1:9" x14ac:dyDescent="0.35">
      <c r="A10" s="14">
        <v>45668</v>
      </c>
      <c r="B10" s="23" t="str">
        <f>TEXT('Brand New Mobile Details Data'!$A10,"MMM")</f>
        <v>Jan</v>
      </c>
      <c r="C10" s="23" t="str">
        <f>TEXT('Brand New Mobile Details Data'!$A10,"dddd")</f>
        <v>Saturday</v>
      </c>
      <c r="D10" s="24" t="str">
        <f>TEXT('Brand New Mobile Details Data'!$A10,"yyyy")</f>
        <v>2025</v>
      </c>
      <c r="E10" s="8" t="s">
        <v>27</v>
      </c>
      <c r="F10" s="8" t="s">
        <v>10</v>
      </c>
      <c r="G10" s="9">
        <v>60</v>
      </c>
      <c r="H10" s="8" t="s">
        <v>15</v>
      </c>
      <c r="I10" s="8" t="s">
        <v>12</v>
      </c>
    </row>
    <row r="11" spans="1:9" x14ac:dyDescent="0.35">
      <c r="A11" s="12">
        <v>45669</v>
      </c>
      <c r="B11" s="21" t="str">
        <f>TEXT('Brand New Mobile Details Data'!$A11,"MMM")</f>
        <v>Jan</v>
      </c>
      <c r="C11" s="21" t="str">
        <f>TEXT('Brand New Mobile Details Data'!$A11,"dddd")</f>
        <v>Sunday</v>
      </c>
      <c r="D11" s="22" t="str">
        <f>TEXT('Brand New Mobile Details Data'!$A11,"yyyy")</f>
        <v>2025</v>
      </c>
      <c r="E11" s="3" t="s">
        <v>43</v>
      </c>
      <c r="F11" s="3" t="s">
        <v>14</v>
      </c>
      <c r="G11" s="7">
        <v>120</v>
      </c>
      <c r="H11" s="3" t="s">
        <v>21</v>
      </c>
      <c r="I11" s="3" t="s">
        <v>8</v>
      </c>
    </row>
    <row r="12" spans="1:9" x14ac:dyDescent="0.35">
      <c r="A12" s="14">
        <v>45671</v>
      </c>
      <c r="B12" s="23" t="str">
        <f>TEXT('Brand New Mobile Details Data'!$A12,"MMM")</f>
        <v>Jan</v>
      </c>
      <c r="C12" s="23" t="str">
        <f>TEXT('Brand New Mobile Details Data'!$A12,"dddd")</f>
        <v>Tuesday</v>
      </c>
      <c r="D12" s="24" t="str">
        <f>TEXT('Brand New Mobile Details Data'!$A12,"yyyy")</f>
        <v>2025</v>
      </c>
      <c r="E12" s="8" t="s">
        <v>37</v>
      </c>
      <c r="F12" s="8" t="s">
        <v>14</v>
      </c>
      <c r="G12" s="9">
        <v>120</v>
      </c>
      <c r="H12" s="8" t="s">
        <v>15</v>
      </c>
      <c r="I12" s="8" t="s">
        <v>16</v>
      </c>
    </row>
    <row r="13" spans="1:9" x14ac:dyDescent="0.35">
      <c r="A13" s="14">
        <v>45675</v>
      </c>
      <c r="B13" s="23" t="str">
        <f>TEXT('Brand New Mobile Details Data'!$A13,"MMM")</f>
        <v>Jan</v>
      </c>
      <c r="C13" s="23" t="str">
        <f>TEXT('Brand New Mobile Details Data'!$A13,"dddd")</f>
        <v>Saturday</v>
      </c>
      <c r="D13" s="24" t="str">
        <f>TEXT('Brand New Mobile Details Data'!$A13,"yyyy")</f>
        <v>2025</v>
      </c>
      <c r="E13" s="8" t="s">
        <v>38</v>
      </c>
      <c r="F13" s="8" t="s">
        <v>14</v>
      </c>
      <c r="G13" s="9">
        <v>120</v>
      </c>
      <c r="H13" s="8" t="s">
        <v>21</v>
      </c>
      <c r="I13" s="8" t="s">
        <v>16</v>
      </c>
    </row>
    <row r="14" spans="1:9" x14ac:dyDescent="0.35">
      <c r="A14" s="12">
        <v>45675</v>
      </c>
      <c r="B14" s="21" t="str">
        <f>TEXT('Brand New Mobile Details Data'!$A14,"MMM")</f>
        <v>Jan</v>
      </c>
      <c r="C14" s="21" t="str">
        <f>TEXT('Brand New Mobile Details Data'!$A14,"dddd")</f>
        <v>Saturday</v>
      </c>
      <c r="D14" s="22" t="str">
        <f>TEXT('Brand New Mobile Details Data'!$A14,"yyyy")</f>
        <v>2025</v>
      </c>
      <c r="E14" s="3" t="s">
        <v>9</v>
      </c>
      <c r="F14" s="3" t="s">
        <v>10</v>
      </c>
      <c r="G14" s="7">
        <v>60</v>
      </c>
      <c r="H14" s="3" t="s">
        <v>19</v>
      </c>
      <c r="I14" s="3" t="s">
        <v>12</v>
      </c>
    </row>
    <row r="15" spans="1:9" x14ac:dyDescent="0.35">
      <c r="A15" s="14">
        <v>45676</v>
      </c>
      <c r="B15" s="23" t="str">
        <f>TEXT('Brand New Mobile Details Data'!$A15,"MMM")</f>
        <v>Jan</v>
      </c>
      <c r="C15" s="23" t="str">
        <f>TEXT('Brand New Mobile Details Data'!$A15,"dddd")</f>
        <v>Sunday</v>
      </c>
      <c r="D15" s="24" t="str">
        <f>TEXT('Brand New Mobile Details Data'!$A15,"yyyy")</f>
        <v>2025</v>
      </c>
      <c r="E15" s="8" t="s">
        <v>22</v>
      </c>
      <c r="F15" s="8" t="s">
        <v>18</v>
      </c>
      <c r="G15" s="9">
        <v>70</v>
      </c>
      <c r="H15" s="8" t="s">
        <v>19</v>
      </c>
      <c r="I15" s="8" t="s">
        <v>12</v>
      </c>
    </row>
    <row r="16" spans="1:9" x14ac:dyDescent="0.35">
      <c r="A16" s="12">
        <v>45676</v>
      </c>
      <c r="B16" s="21" t="str">
        <f>TEXT('Brand New Mobile Details Data'!$A16,"MMM")</f>
        <v>Jan</v>
      </c>
      <c r="C16" s="21" t="str">
        <f>TEXT('Brand New Mobile Details Data'!$A16,"dddd")</f>
        <v>Sunday</v>
      </c>
      <c r="D16" s="22" t="str">
        <f>TEXT('Brand New Mobile Details Data'!$A16,"yyyy")</f>
        <v>2025</v>
      </c>
      <c r="E16" s="3" t="s">
        <v>27</v>
      </c>
      <c r="F16" s="3" t="s">
        <v>14</v>
      </c>
      <c r="G16" s="7">
        <v>120</v>
      </c>
      <c r="H16" s="3" t="s">
        <v>19</v>
      </c>
      <c r="I16" s="3" t="s">
        <v>16</v>
      </c>
    </row>
    <row r="17" spans="1:9" x14ac:dyDescent="0.35">
      <c r="A17" s="12">
        <v>45676</v>
      </c>
      <c r="B17" s="21" t="str">
        <f>TEXT('Brand New Mobile Details Data'!$A17,"MMM")</f>
        <v>Jan</v>
      </c>
      <c r="C17" s="21" t="str">
        <f>TEXT('Brand New Mobile Details Data'!$A17,"dddd")</f>
        <v>Sunday</v>
      </c>
      <c r="D17" s="22" t="str">
        <f>TEXT('Brand New Mobile Details Data'!$A17,"yyyy")</f>
        <v>2025</v>
      </c>
      <c r="E17" s="3" t="s">
        <v>37</v>
      </c>
      <c r="F17" s="3" t="s">
        <v>28</v>
      </c>
      <c r="G17" s="7">
        <v>80</v>
      </c>
      <c r="H17" s="3" t="s">
        <v>19</v>
      </c>
      <c r="I17" s="3" t="s">
        <v>8</v>
      </c>
    </row>
    <row r="18" spans="1:9" x14ac:dyDescent="0.35">
      <c r="A18" s="12">
        <v>45681</v>
      </c>
      <c r="B18" s="21" t="str">
        <f>TEXT('Brand New Mobile Details Data'!$A18,"MMM")</f>
        <v>Jan</v>
      </c>
      <c r="C18" s="21" t="str">
        <f>TEXT('Brand New Mobile Details Data'!$A18,"dddd")</f>
        <v>Friday</v>
      </c>
      <c r="D18" s="22" t="str">
        <f>TEXT('Brand New Mobile Details Data'!$A18,"yyyy")</f>
        <v>2025</v>
      </c>
      <c r="E18" s="3" t="s">
        <v>53</v>
      </c>
      <c r="F18" s="3" t="s">
        <v>6</v>
      </c>
      <c r="G18" s="7">
        <v>150</v>
      </c>
      <c r="H18" s="3" t="s">
        <v>21</v>
      </c>
      <c r="I18" s="3" t="s">
        <v>12</v>
      </c>
    </row>
    <row r="19" spans="1:9" x14ac:dyDescent="0.35">
      <c r="A19" s="12">
        <v>45682</v>
      </c>
      <c r="B19" s="21" t="str">
        <f>TEXT('Brand New Mobile Details Data'!$A19,"MMM")</f>
        <v>Jan</v>
      </c>
      <c r="C19" s="21" t="str">
        <f>TEXT('Brand New Mobile Details Data'!$A19,"dddd")</f>
        <v>Saturday</v>
      </c>
      <c r="D19" s="22" t="str">
        <f>TEXT('Brand New Mobile Details Data'!$A19,"yyyy")</f>
        <v>2025</v>
      </c>
      <c r="E19" s="3" t="s">
        <v>17</v>
      </c>
      <c r="F19" s="3" t="s">
        <v>28</v>
      </c>
      <c r="G19" s="7">
        <v>80</v>
      </c>
      <c r="H19" s="3" t="s">
        <v>21</v>
      </c>
      <c r="I19" s="3" t="s">
        <v>12</v>
      </c>
    </row>
    <row r="20" spans="1:9" x14ac:dyDescent="0.35">
      <c r="A20" s="14">
        <v>45685</v>
      </c>
      <c r="B20" s="23" t="str">
        <f>TEXT('Brand New Mobile Details Data'!$A20,"MMM")</f>
        <v>Jan</v>
      </c>
      <c r="C20" s="23" t="str">
        <f>TEXT('Brand New Mobile Details Data'!$A20,"dddd")</f>
        <v>Tuesday</v>
      </c>
      <c r="D20" s="24" t="str">
        <f>TEXT('Brand New Mobile Details Data'!$A20,"yyyy")</f>
        <v>2025</v>
      </c>
      <c r="E20" s="8" t="s">
        <v>52</v>
      </c>
      <c r="F20" s="8" t="s">
        <v>28</v>
      </c>
      <c r="G20" s="9">
        <v>80</v>
      </c>
      <c r="H20" s="8" t="s">
        <v>21</v>
      </c>
      <c r="I20" s="8" t="s">
        <v>12</v>
      </c>
    </row>
    <row r="21" spans="1:9" x14ac:dyDescent="0.35">
      <c r="A21" s="12">
        <v>45688</v>
      </c>
      <c r="B21" s="21" t="str">
        <f>TEXT('Brand New Mobile Details Data'!$A21,"MMM")</f>
        <v>Jan</v>
      </c>
      <c r="C21" s="21" t="str">
        <f>TEXT('Brand New Mobile Details Data'!$A21,"dddd")</f>
        <v>Friday</v>
      </c>
      <c r="D21" s="22" t="str">
        <f>TEXT('Brand New Mobile Details Data'!$A21,"yyyy")</f>
        <v>2025</v>
      </c>
      <c r="E21" s="3" t="s">
        <v>43</v>
      </c>
      <c r="F21" s="3" t="s">
        <v>28</v>
      </c>
      <c r="G21" s="7">
        <v>80</v>
      </c>
      <c r="H21" s="3" t="s">
        <v>7</v>
      </c>
      <c r="I21" s="3" t="s">
        <v>16</v>
      </c>
    </row>
    <row r="22" spans="1:9" x14ac:dyDescent="0.35">
      <c r="A22" s="12">
        <v>45690</v>
      </c>
      <c r="B22" s="21" t="str">
        <f>TEXT('Brand New Mobile Details Data'!$A22,"MMM")</f>
        <v>Feb</v>
      </c>
      <c r="C22" s="21" t="str">
        <f>TEXT('Brand New Mobile Details Data'!$A22,"dddd")</f>
        <v>Sunday</v>
      </c>
      <c r="D22" s="22" t="str">
        <f>TEXT('Brand New Mobile Details Data'!$A22,"yyyy")</f>
        <v>2025</v>
      </c>
      <c r="E22" s="3" t="s">
        <v>29</v>
      </c>
      <c r="F22" s="3" t="s">
        <v>28</v>
      </c>
      <c r="G22" s="7">
        <v>80</v>
      </c>
      <c r="H22" s="3" t="s">
        <v>21</v>
      </c>
      <c r="I22" s="3" t="s">
        <v>12</v>
      </c>
    </row>
    <row r="23" spans="1:9" x14ac:dyDescent="0.35">
      <c r="A23" s="14">
        <v>45690</v>
      </c>
      <c r="B23" s="23" t="str">
        <f>TEXT('Brand New Mobile Details Data'!$A23,"MMM")</f>
        <v>Feb</v>
      </c>
      <c r="C23" s="23" t="str">
        <f>TEXT('Brand New Mobile Details Data'!$A23,"dddd")</f>
        <v>Sunday</v>
      </c>
      <c r="D23" s="24" t="str">
        <f>TEXT('Brand New Mobile Details Data'!$A23,"yyyy")</f>
        <v>2025</v>
      </c>
      <c r="E23" s="8" t="s">
        <v>35</v>
      </c>
      <c r="F23" s="8" t="s">
        <v>10</v>
      </c>
      <c r="G23" s="9">
        <v>60</v>
      </c>
      <c r="H23" s="8" t="s">
        <v>11</v>
      </c>
      <c r="I23" s="8" t="s">
        <v>8</v>
      </c>
    </row>
    <row r="24" spans="1:9" x14ac:dyDescent="0.35">
      <c r="A24" s="14">
        <v>45691</v>
      </c>
      <c r="B24" s="23" t="str">
        <f>TEXT('Brand New Mobile Details Data'!$A24,"MMM")</f>
        <v>Feb</v>
      </c>
      <c r="C24" s="23" t="str">
        <f>TEXT('Brand New Mobile Details Data'!$A24,"dddd")</f>
        <v>Monday</v>
      </c>
      <c r="D24" s="24" t="str">
        <f>TEXT('Brand New Mobile Details Data'!$A24,"yyyy")</f>
        <v>2025</v>
      </c>
      <c r="E24" s="8" t="s">
        <v>33</v>
      </c>
      <c r="F24" s="8" t="s">
        <v>10</v>
      </c>
      <c r="G24" s="9">
        <v>60</v>
      </c>
      <c r="H24" s="8" t="s">
        <v>15</v>
      </c>
      <c r="I24" s="8" t="s">
        <v>16</v>
      </c>
    </row>
    <row r="25" spans="1:9" x14ac:dyDescent="0.35">
      <c r="A25" s="14">
        <v>45693</v>
      </c>
      <c r="B25" s="23" t="str">
        <f>TEXT('Brand New Mobile Details Data'!$A25,"MMM")</f>
        <v>Feb</v>
      </c>
      <c r="C25" s="23" t="str">
        <f>TEXT('Brand New Mobile Details Data'!$A25,"dddd")</f>
        <v>Wednesday</v>
      </c>
      <c r="D25" s="24" t="str">
        <f>TEXT('Brand New Mobile Details Data'!$A25,"yyyy")</f>
        <v>2025</v>
      </c>
      <c r="E25" s="8" t="s">
        <v>13</v>
      </c>
      <c r="F25" s="8" t="s">
        <v>14</v>
      </c>
      <c r="G25" s="9">
        <v>120</v>
      </c>
      <c r="H25" s="8" t="s">
        <v>15</v>
      </c>
      <c r="I25" s="8" t="s">
        <v>16</v>
      </c>
    </row>
    <row r="26" spans="1:9" x14ac:dyDescent="0.35">
      <c r="A26" s="14">
        <v>45693</v>
      </c>
      <c r="B26" s="23" t="str">
        <f>TEXT('Brand New Mobile Details Data'!$A26,"MMM")</f>
        <v>Feb</v>
      </c>
      <c r="C26" s="23" t="str">
        <f>TEXT('Brand New Mobile Details Data'!$A26,"dddd")</f>
        <v>Wednesday</v>
      </c>
      <c r="D26" s="24" t="str">
        <f>TEXT('Brand New Mobile Details Data'!$A26,"yyyy")</f>
        <v>2025</v>
      </c>
      <c r="E26" s="8" t="s">
        <v>37</v>
      </c>
      <c r="F26" s="8" t="s">
        <v>18</v>
      </c>
      <c r="G26" s="9">
        <v>70</v>
      </c>
      <c r="H26" s="8" t="s">
        <v>11</v>
      </c>
      <c r="I26" s="8" t="s">
        <v>8</v>
      </c>
    </row>
    <row r="27" spans="1:9" x14ac:dyDescent="0.35">
      <c r="A27" s="12">
        <v>45694</v>
      </c>
      <c r="B27" s="21" t="str">
        <f>TEXT('Brand New Mobile Details Data'!$A27,"MMM")</f>
        <v>Feb</v>
      </c>
      <c r="C27" s="21" t="str">
        <f>TEXT('Brand New Mobile Details Data'!$A27,"dddd")</f>
        <v>Thursday</v>
      </c>
      <c r="D27" s="22" t="str">
        <f>TEXT('Brand New Mobile Details Data'!$A27,"yyyy")</f>
        <v>2025</v>
      </c>
      <c r="E27" s="3" t="s">
        <v>55</v>
      </c>
      <c r="F27" s="3" t="s">
        <v>6</v>
      </c>
      <c r="G27" s="7">
        <v>150</v>
      </c>
      <c r="H27" s="3" t="s">
        <v>15</v>
      </c>
      <c r="I27" s="3" t="s">
        <v>12</v>
      </c>
    </row>
    <row r="28" spans="1:9" x14ac:dyDescent="0.35">
      <c r="A28" s="12">
        <v>45697</v>
      </c>
      <c r="B28" s="21" t="str">
        <f>TEXT('Brand New Mobile Details Data'!$A28,"MMM")</f>
        <v>Feb</v>
      </c>
      <c r="C28" s="21" t="str">
        <f>TEXT('Brand New Mobile Details Data'!$A28,"dddd")</f>
        <v>Sunday</v>
      </c>
      <c r="D28" s="22" t="str">
        <f>TEXT('Brand New Mobile Details Data'!$A28,"yyyy")</f>
        <v>2025</v>
      </c>
      <c r="E28" s="3" t="s">
        <v>31</v>
      </c>
      <c r="F28" s="3" t="s">
        <v>10</v>
      </c>
      <c r="G28" s="7">
        <v>60</v>
      </c>
      <c r="H28" s="3" t="s">
        <v>11</v>
      </c>
      <c r="I28" s="3" t="s">
        <v>16</v>
      </c>
    </row>
    <row r="29" spans="1:9" x14ac:dyDescent="0.35">
      <c r="A29" s="12">
        <v>45697</v>
      </c>
      <c r="B29" s="21" t="str">
        <f>TEXT('Brand New Mobile Details Data'!$A29,"MMM")</f>
        <v>Feb</v>
      </c>
      <c r="C29" s="21" t="str">
        <f>TEXT('Brand New Mobile Details Data'!$A29,"dddd")</f>
        <v>Sunday</v>
      </c>
      <c r="D29" s="22" t="str">
        <f>TEXT('Brand New Mobile Details Data'!$A29,"yyyy")</f>
        <v>2025</v>
      </c>
      <c r="E29" s="3" t="s">
        <v>53</v>
      </c>
      <c r="F29" s="3" t="s">
        <v>14</v>
      </c>
      <c r="G29" s="7">
        <v>120</v>
      </c>
      <c r="H29" s="3" t="s">
        <v>19</v>
      </c>
      <c r="I29" s="3" t="s">
        <v>12</v>
      </c>
    </row>
    <row r="30" spans="1:9" x14ac:dyDescent="0.35">
      <c r="A30" s="12">
        <v>45698</v>
      </c>
      <c r="B30" s="21" t="str">
        <f>TEXT('Brand New Mobile Details Data'!$A30,"MMM")</f>
        <v>Feb</v>
      </c>
      <c r="C30" s="21" t="str">
        <f>TEXT('Brand New Mobile Details Data'!$A30,"dddd")</f>
        <v>Monday</v>
      </c>
      <c r="D30" s="22" t="str">
        <f>TEXT('Brand New Mobile Details Data'!$A30,"yyyy")</f>
        <v>2025</v>
      </c>
      <c r="E30" s="3" t="s">
        <v>22</v>
      </c>
      <c r="F30" s="3" t="s">
        <v>6</v>
      </c>
      <c r="G30" s="7">
        <v>150</v>
      </c>
      <c r="H30" s="3" t="s">
        <v>19</v>
      </c>
      <c r="I30" s="3" t="s">
        <v>12</v>
      </c>
    </row>
    <row r="31" spans="1:9" x14ac:dyDescent="0.35">
      <c r="A31" s="14">
        <v>45698</v>
      </c>
      <c r="B31" s="23" t="str">
        <f>TEXT('Brand New Mobile Details Data'!$A31,"MMM")</f>
        <v>Feb</v>
      </c>
      <c r="C31" s="23" t="str">
        <f>TEXT('Brand New Mobile Details Data'!$A31,"dddd")</f>
        <v>Monday</v>
      </c>
      <c r="D31" s="24" t="str">
        <f>TEXT('Brand New Mobile Details Data'!$A31,"yyyy")</f>
        <v>2025</v>
      </c>
      <c r="E31" s="8" t="s">
        <v>55</v>
      </c>
      <c r="F31" s="8" t="s">
        <v>10</v>
      </c>
      <c r="G31" s="9">
        <v>60</v>
      </c>
      <c r="H31" s="8" t="s">
        <v>11</v>
      </c>
      <c r="I31" s="8" t="s">
        <v>16</v>
      </c>
    </row>
    <row r="32" spans="1:9" x14ac:dyDescent="0.35">
      <c r="A32" s="14">
        <v>45698</v>
      </c>
      <c r="B32" s="23" t="str">
        <f>TEXT('Brand New Mobile Details Data'!$A32,"MMM")</f>
        <v>Feb</v>
      </c>
      <c r="C32" s="23" t="str">
        <f>TEXT('Brand New Mobile Details Data'!$A32,"dddd")</f>
        <v>Monday</v>
      </c>
      <c r="D32" s="24" t="str">
        <f>TEXT('Brand New Mobile Details Data'!$A32,"yyyy")</f>
        <v>2025</v>
      </c>
      <c r="E32" s="8" t="s">
        <v>27</v>
      </c>
      <c r="F32" s="8" t="s">
        <v>6</v>
      </c>
      <c r="G32" s="9">
        <v>150</v>
      </c>
      <c r="H32" s="8" t="s">
        <v>11</v>
      </c>
      <c r="I32" s="8" t="s">
        <v>16</v>
      </c>
    </row>
    <row r="33" spans="1:9" x14ac:dyDescent="0.35">
      <c r="A33" s="14">
        <v>45700</v>
      </c>
      <c r="B33" s="23" t="str">
        <f>TEXT('Brand New Mobile Details Data'!$A33,"MMM")</f>
        <v>Feb</v>
      </c>
      <c r="C33" s="23" t="str">
        <f>TEXT('Brand New Mobile Details Data'!$A33,"dddd")</f>
        <v>Wednesday</v>
      </c>
      <c r="D33" s="24" t="str">
        <f>TEXT('Brand New Mobile Details Data'!$A33,"yyyy")</f>
        <v>2025</v>
      </c>
      <c r="E33" s="8" t="s">
        <v>34</v>
      </c>
      <c r="F33" s="8" t="s">
        <v>28</v>
      </c>
      <c r="G33" s="9">
        <v>80</v>
      </c>
      <c r="H33" s="8" t="s">
        <v>7</v>
      </c>
      <c r="I33" s="8" t="s">
        <v>8</v>
      </c>
    </row>
    <row r="34" spans="1:9" x14ac:dyDescent="0.35">
      <c r="A34" s="14">
        <v>45700</v>
      </c>
      <c r="B34" s="23" t="str">
        <f>TEXT('Brand New Mobile Details Data'!$A34,"MMM")</f>
        <v>Feb</v>
      </c>
      <c r="C34" s="23" t="str">
        <f>TEXT('Brand New Mobile Details Data'!$A34,"dddd")</f>
        <v>Wednesday</v>
      </c>
      <c r="D34" s="24" t="str">
        <f>TEXT('Brand New Mobile Details Data'!$A34,"yyyy")</f>
        <v>2025</v>
      </c>
      <c r="E34" s="8" t="s">
        <v>37</v>
      </c>
      <c r="F34" s="8" t="s">
        <v>28</v>
      </c>
      <c r="G34" s="9">
        <v>80</v>
      </c>
      <c r="H34" s="8" t="s">
        <v>19</v>
      </c>
      <c r="I34" s="8" t="s">
        <v>12</v>
      </c>
    </row>
    <row r="35" spans="1:9" x14ac:dyDescent="0.35">
      <c r="A35" s="12">
        <v>45702</v>
      </c>
      <c r="B35" s="21" t="str">
        <f>TEXT('Brand New Mobile Details Data'!$A35,"MMM")</f>
        <v>Feb</v>
      </c>
      <c r="C35" s="21" t="str">
        <f>TEXT('Brand New Mobile Details Data'!$A35,"dddd")</f>
        <v>Friday</v>
      </c>
      <c r="D35" s="22" t="str">
        <f>TEXT('Brand New Mobile Details Data'!$A35,"yyyy")</f>
        <v>2025</v>
      </c>
      <c r="E35" s="3" t="s">
        <v>55</v>
      </c>
      <c r="F35" s="3" t="s">
        <v>28</v>
      </c>
      <c r="G35" s="7">
        <v>80</v>
      </c>
      <c r="H35" s="3" t="s">
        <v>7</v>
      </c>
      <c r="I35" s="3" t="s">
        <v>16</v>
      </c>
    </row>
    <row r="36" spans="1:9" x14ac:dyDescent="0.35">
      <c r="A36" s="12">
        <v>45703</v>
      </c>
      <c r="B36" s="21" t="str">
        <f>TEXT('Brand New Mobile Details Data'!$A36,"MMM")</f>
        <v>Feb</v>
      </c>
      <c r="C36" s="21" t="str">
        <f>TEXT('Brand New Mobile Details Data'!$A36,"dddd")</f>
        <v>Saturday</v>
      </c>
      <c r="D36" s="22" t="str">
        <f>TEXT('Brand New Mobile Details Data'!$A36,"yyyy")</f>
        <v>2025</v>
      </c>
      <c r="E36" s="3" t="s">
        <v>24</v>
      </c>
      <c r="F36" s="3" t="s">
        <v>10</v>
      </c>
      <c r="G36" s="7">
        <v>60</v>
      </c>
      <c r="H36" s="3" t="s">
        <v>15</v>
      </c>
      <c r="I36" s="3" t="s">
        <v>16</v>
      </c>
    </row>
    <row r="37" spans="1:9" x14ac:dyDescent="0.35">
      <c r="A37" s="14">
        <v>45706</v>
      </c>
      <c r="B37" s="23" t="str">
        <f>TEXT('Brand New Mobile Details Data'!$A37,"MMM")</f>
        <v>Feb</v>
      </c>
      <c r="C37" s="23" t="str">
        <f>TEXT('Brand New Mobile Details Data'!$A37,"dddd")</f>
        <v>Tuesday</v>
      </c>
      <c r="D37" s="24" t="str">
        <f>TEXT('Brand New Mobile Details Data'!$A37,"yyyy")</f>
        <v>2025</v>
      </c>
      <c r="E37" s="8" t="s">
        <v>39</v>
      </c>
      <c r="F37" s="8" t="s">
        <v>18</v>
      </c>
      <c r="G37" s="9">
        <v>70</v>
      </c>
      <c r="H37" s="8" t="s">
        <v>19</v>
      </c>
      <c r="I37" s="8" t="s">
        <v>8</v>
      </c>
    </row>
    <row r="38" spans="1:9" x14ac:dyDescent="0.35">
      <c r="A38" s="14">
        <v>45707</v>
      </c>
      <c r="B38" s="23" t="str">
        <f>TEXT('Brand New Mobile Details Data'!$A38,"MMM")</f>
        <v>Feb</v>
      </c>
      <c r="C38" s="23" t="str">
        <f>TEXT('Brand New Mobile Details Data'!$A38,"dddd")</f>
        <v>Wednesday</v>
      </c>
      <c r="D38" s="24" t="str">
        <f>TEXT('Brand New Mobile Details Data'!$A38,"yyyy")</f>
        <v>2025</v>
      </c>
      <c r="E38" s="8" t="s">
        <v>44</v>
      </c>
      <c r="F38" s="8" t="s">
        <v>18</v>
      </c>
      <c r="G38" s="9">
        <v>70</v>
      </c>
      <c r="H38" s="8" t="s">
        <v>11</v>
      </c>
      <c r="I38" s="8" t="s">
        <v>16</v>
      </c>
    </row>
    <row r="39" spans="1:9" x14ac:dyDescent="0.35">
      <c r="A39" s="14">
        <v>45707</v>
      </c>
      <c r="B39" s="23" t="str">
        <f>TEXT('Brand New Mobile Details Data'!$A39,"MMM")</f>
        <v>Feb</v>
      </c>
      <c r="C39" s="23" t="str">
        <f>TEXT('Brand New Mobile Details Data'!$A39,"dddd")</f>
        <v>Wednesday</v>
      </c>
      <c r="D39" s="24" t="str">
        <f>TEXT('Brand New Mobile Details Data'!$A39,"yyyy")</f>
        <v>2025</v>
      </c>
      <c r="E39" s="8" t="s">
        <v>27</v>
      </c>
      <c r="F39" s="8" t="s">
        <v>6</v>
      </c>
      <c r="G39" s="9">
        <v>150</v>
      </c>
      <c r="H39" s="8" t="s">
        <v>7</v>
      </c>
      <c r="I39" s="8" t="s">
        <v>12</v>
      </c>
    </row>
    <row r="40" spans="1:9" x14ac:dyDescent="0.35">
      <c r="A40" s="12">
        <v>45707</v>
      </c>
      <c r="B40" s="21" t="str">
        <f>TEXT('Brand New Mobile Details Data'!$A40,"MMM")</f>
        <v>Feb</v>
      </c>
      <c r="C40" s="21" t="str">
        <f>TEXT('Brand New Mobile Details Data'!$A40,"dddd")</f>
        <v>Wednesday</v>
      </c>
      <c r="D40" s="22" t="str">
        <f>TEXT('Brand New Mobile Details Data'!$A40,"yyyy")</f>
        <v>2025</v>
      </c>
      <c r="E40" s="3" t="s">
        <v>22</v>
      </c>
      <c r="F40" s="3" t="s">
        <v>6</v>
      </c>
      <c r="G40" s="7">
        <v>150</v>
      </c>
      <c r="H40" s="3" t="s">
        <v>7</v>
      </c>
      <c r="I40" s="3" t="s">
        <v>16</v>
      </c>
    </row>
    <row r="41" spans="1:9" x14ac:dyDescent="0.35">
      <c r="A41" s="14">
        <v>45708</v>
      </c>
      <c r="B41" s="23" t="str">
        <f>TEXT('Brand New Mobile Details Data'!$A41,"MMM")</f>
        <v>Feb</v>
      </c>
      <c r="C41" s="23" t="str">
        <f>TEXT('Brand New Mobile Details Data'!$A41,"dddd")</f>
        <v>Thursday</v>
      </c>
      <c r="D41" s="24" t="str">
        <f>TEXT('Brand New Mobile Details Data'!$A41,"yyyy")</f>
        <v>2025</v>
      </c>
      <c r="E41" s="8" t="s">
        <v>47</v>
      </c>
      <c r="F41" s="8" t="s">
        <v>28</v>
      </c>
      <c r="G41" s="9">
        <v>80</v>
      </c>
      <c r="H41" s="8" t="s">
        <v>11</v>
      </c>
      <c r="I41" s="8" t="s">
        <v>12</v>
      </c>
    </row>
    <row r="42" spans="1:9" x14ac:dyDescent="0.35">
      <c r="A42" s="14">
        <v>45709</v>
      </c>
      <c r="B42" s="23" t="str">
        <f>TEXT('Brand New Mobile Details Data'!$A42,"MMM")</f>
        <v>Feb</v>
      </c>
      <c r="C42" s="23" t="str">
        <f>TEXT('Brand New Mobile Details Data'!$A42,"dddd")</f>
        <v>Friday</v>
      </c>
      <c r="D42" s="24" t="str">
        <f>TEXT('Brand New Mobile Details Data'!$A42,"yyyy")</f>
        <v>2025</v>
      </c>
      <c r="E42" s="8" t="s">
        <v>30</v>
      </c>
      <c r="F42" s="8" t="s">
        <v>14</v>
      </c>
      <c r="G42" s="9">
        <v>120</v>
      </c>
      <c r="H42" s="8" t="s">
        <v>19</v>
      </c>
      <c r="I42" s="8" t="s">
        <v>12</v>
      </c>
    </row>
    <row r="43" spans="1:9" x14ac:dyDescent="0.35">
      <c r="A43" s="12">
        <v>45709</v>
      </c>
      <c r="B43" s="21" t="str">
        <f>TEXT('Brand New Mobile Details Data'!$A43,"MMM")</f>
        <v>Feb</v>
      </c>
      <c r="C43" s="21" t="str">
        <f>TEXT('Brand New Mobile Details Data'!$A43,"dddd")</f>
        <v>Friday</v>
      </c>
      <c r="D43" s="22" t="str">
        <f>TEXT('Brand New Mobile Details Data'!$A43,"yyyy")</f>
        <v>2025</v>
      </c>
      <c r="E43" s="3" t="s">
        <v>48</v>
      </c>
      <c r="F43" s="3" t="s">
        <v>6</v>
      </c>
      <c r="G43" s="7">
        <v>150</v>
      </c>
      <c r="H43" s="3" t="s">
        <v>19</v>
      </c>
      <c r="I43" s="3" t="s">
        <v>12</v>
      </c>
    </row>
    <row r="44" spans="1:9" x14ac:dyDescent="0.35">
      <c r="A44" s="12">
        <v>45710</v>
      </c>
      <c r="B44" s="21" t="str">
        <f>TEXT('Brand New Mobile Details Data'!$A44,"MMM")</f>
        <v>Feb</v>
      </c>
      <c r="C44" s="21" t="str">
        <f>TEXT('Brand New Mobile Details Data'!$A44,"dddd")</f>
        <v>Saturday</v>
      </c>
      <c r="D44" s="22" t="str">
        <f>TEXT('Brand New Mobile Details Data'!$A44,"yyyy")</f>
        <v>2025</v>
      </c>
      <c r="E44" s="3" t="s">
        <v>40</v>
      </c>
      <c r="F44" s="3" t="s">
        <v>14</v>
      </c>
      <c r="G44" s="7">
        <v>120</v>
      </c>
      <c r="H44" s="3" t="s">
        <v>19</v>
      </c>
      <c r="I44" s="3" t="s">
        <v>12</v>
      </c>
    </row>
    <row r="45" spans="1:9" x14ac:dyDescent="0.35">
      <c r="A45" s="14">
        <v>45710</v>
      </c>
      <c r="B45" s="23" t="str">
        <f>TEXT('Brand New Mobile Details Data'!$A45,"MMM")</f>
        <v>Feb</v>
      </c>
      <c r="C45" s="23" t="str">
        <f>TEXT('Brand New Mobile Details Data'!$A45,"dddd")</f>
        <v>Saturday</v>
      </c>
      <c r="D45" s="24" t="str">
        <f>TEXT('Brand New Mobile Details Data'!$A45,"yyyy")</f>
        <v>2025</v>
      </c>
      <c r="E45" s="8" t="s">
        <v>34</v>
      </c>
      <c r="F45" s="8" t="s">
        <v>10</v>
      </c>
      <c r="G45" s="9">
        <v>60</v>
      </c>
      <c r="H45" s="8" t="s">
        <v>7</v>
      </c>
      <c r="I45" s="8" t="s">
        <v>12</v>
      </c>
    </row>
    <row r="46" spans="1:9" x14ac:dyDescent="0.35">
      <c r="A46" s="12">
        <v>45712</v>
      </c>
      <c r="B46" s="21" t="str">
        <f>TEXT('Brand New Mobile Details Data'!$A46,"MMM")</f>
        <v>Feb</v>
      </c>
      <c r="C46" s="21" t="str">
        <f>TEXT('Brand New Mobile Details Data'!$A46,"dddd")</f>
        <v>Monday</v>
      </c>
      <c r="D46" s="22" t="str">
        <f>TEXT('Brand New Mobile Details Data'!$A46,"yyyy")</f>
        <v>2025</v>
      </c>
      <c r="E46" s="3" t="s">
        <v>30</v>
      </c>
      <c r="F46" s="3" t="s">
        <v>10</v>
      </c>
      <c r="G46" s="7">
        <v>60</v>
      </c>
      <c r="H46" s="3" t="s">
        <v>21</v>
      </c>
      <c r="I46" s="3" t="s">
        <v>8</v>
      </c>
    </row>
    <row r="47" spans="1:9" x14ac:dyDescent="0.35">
      <c r="A47" s="12">
        <v>45714</v>
      </c>
      <c r="B47" s="21" t="str">
        <f>TEXT('Brand New Mobile Details Data'!$A47,"MMM")</f>
        <v>Feb</v>
      </c>
      <c r="C47" s="21" t="str">
        <f>TEXT('Brand New Mobile Details Data'!$A47,"dddd")</f>
        <v>Wednesday</v>
      </c>
      <c r="D47" s="22" t="str">
        <f>TEXT('Brand New Mobile Details Data'!$A47,"yyyy")</f>
        <v>2025</v>
      </c>
      <c r="E47" s="3" t="s">
        <v>36</v>
      </c>
      <c r="F47" s="3" t="s">
        <v>18</v>
      </c>
      <c r="G47" s="7">
        <v>70</v>
      </c>
      <c r="H47" s="3" t="s">
        <v>11</v>
      </c>
      <c r="I47" s="3" t="s">
        <v>16</v>
      </c>
    </row>
    <row r="48" spans="1:9" x14ac:dyDescent="0.35">
      <c r="A48" s="14">
        <v>45715</v>
      </c>
      <c r="B48" s="23" t="str">
        <f>TEXT('Brand New Mobile Details Data'!$A48,"MMM")</f>
        <v>Feb</v>
      </c>
      <c r="C48" s="23" t="str">
        <f>TEXT('Brand New Mobile Details Data'!$A48,"dddd")</f>
        <v>Thursday</v>
      </c>
      <c r="D48" s="24" t="str">
        <f>TEXT('Brand New Mobile Details Data'!$A48,"yyyy")</f>
        <v>2025</v>
      </c>
      <c r="E48" s="8" t="s">
        <v>39</v>
      </c>
      <c r="F48" s="8" t="s">
        <v>14</v>
      </c>
      <c r="G48" s="9">
        <v>120</v>
      </c>
      <c r="H48" s="8" t="s">
        <v>7</v>
      </c>
      <c r="I48" s="8" t="s">
        <v>16</v>
      </c>
    </row>
    <row r="49" spans="1:9" x14ac:dyDescent="0.35">
      <c r="A49" s="14">
        <v>45717</v>
      </c>
      <c r="B49" s="23" t="str">
        <f>TEXT('Brand New Mobile Details Data'!$A49,"MMM")</f>
        <v>Mar</v>
      </c>
      <c r="C49" s="23" t="str">
        <f>TEXT('Brand New Mobile Details Data'!$A49,"dddd")</f>
        <v>Saturday</v>
      </c>
      <c r="D49" s="24" t="str">
        <f>TEXT('Brand New Mobile Details Data'!$A49,"yyyy")</f>
        <v>2025</v>
      </c>
      <c r="E49" s="8" t="s">
        <v>5</v>
      </c>
      <c r="F49" s="8" t="s">
        <v>6</v>
      </c>
      <c r="G49" s="9">
        <v>150</v>
      </c>
      <c r="H49" s="8" t="s">
        <v>7</v>
      </c>
      <c r="I49" s="8" t="s">
        <v>8</v>
      </c>
    </row>
    <row r="50" spans="1:9" x14ac:dyDescent="0.35">
      <c r="A50" s="12">
        <v>45718</v>
      </c>
      <c r="B50" s="21" t="str">
        <f>TEXT('Brand New Mobile Details Data'!$A50,"MMM")</f>
        <v>Mar</v>
      </c>
      <c r="C50" s="21" t="str">
        <f>TEXT('Brand New Mobile Details Data'!$A50,"dddd")</f>
        <v>Sunday</v>
      </c>
      <c r="D50" s="22" t="str">
        <f>TEXT('Brand New Mobile Details Data'!$A50,"yyyy")</f>
        <v>2025</v>
      </c>
      <c r="E50" s="3" t="s">
        <v>37</v>
      </c>
      <c r="F50" s="3" t="s">
        <v>6</v>
      </c>
      <c r="G50" s="7">
        <v>150</v>
      </c>
      <c r="H50" s="3" t="s">
        <v>19</v>
      </c>
      <c r="I50" s="3" t="s">
        <v>16</v>
      </c>
    </row>
    <row r="51" spans="1:9" x14ac:dyDescent="0.35">
      <c r="A51" s="12">
        <v>45719</v>
      </c>
      <c r="B51" s="21" t="str">
        <f>TEXT('Brand New Mobile Details Data'!$A51,"MMM")</f>
        <v>Mar</v>
      </c>
      <c r="C51" s="21" t="str">
        <f>TEXT('Brand New Mobile Details Data'!$A51,"dddd")</f>
        <v>Monday</v>
      </c>
      <c r="D51" s="22" t="str">
        <f>TEXT('Brand New Mobile Details Data'!$A51,"yyyy")</f>
        <v>2025</v>
      </c>
      <c r="E51" s="3" t="s">
        <v>26</v>
      </c>
      <c r="F51" s="3" t="s">
        <v>14</v>
      </c>
      <c r="G51" s="7">
        <v>120</v>
      </c>
      <c r="H51" s="3" t="s">
        <v>15</v>
      </c>
      <c r="I51" s="3" t="s">
        <v>8</v>
      </c>
    </row>
    <row r="52" spans="1:9" x14ac:dyDescent="0.35">
      <c r="A52" s="12">
        <v>45719</v>
      </c>
      <c r="B52" s="21" t="str">
        <f>TEXT('Brand New Mobile Details Data'!$A52,"MMM")</f>
        <v>Mar</v>
      </c>
      <c r="C52" s="21" t="str">
        <f>TEXT('Brand New Mobile Details Data'!$A52,"dddd")</f>
        <v>Monday</v>
      </c>
      <c r="D52" s="22" t="str">
        <f>TEXT('Brand New Mobile Details Data'!$A52,"yyyy")</f>
        <v>2025</v>
      </c>
      <c r="E52" s="3" t="s">
        <v>52</v>
      </c>
      <c r="F52" s="3" t="s">
        <v>28</v>
      </c>
      <c r="G52" s="7">
        <v>80</v>
      </c>
      <c r="H52" s="3" t="s">
        <v>7</v>
      </c>
      <c r="I52" s="3" t="s">
        <v>12</v>
      </c>
    </row>
    <row r="53" spans="1:9" x14ac:dyDescent="0.35">
      <c r="A53" s="14">
        <v>45720</v>
      </c>
      <c r="B53" s="23" t="str">
        <f>TEXT('Brand New Mobile Details Data'!$A53,"MMM")</f>
        <v>Mar</v>
      </c>
      <c r="C53" s="23" t="str">
        <f>TEXT('Brand New Mobile Details Data'!$A53,"dddd")</f>
        <v>Tuesday</v>
      </c>
      <c r="D53" s="24" t="str">
        <f>TEXT('Brand New Mobile Details Data'!$A53,"yyyy")</f>
        <v>2025</v>
      </c>
      <c r="E53" s="8" t="s">
        <v>49</v>
      </c>
      <c r="F53" s="8" t="s">
        <v>10</v>
      </c>
      <c r="G53" s="9">
        <v>60</v>
      </c>
      <c r="H53" s="8" t="s">
        <v>7</v>
      </c>
      <c r="I53" s="8" t="s">
        <v>16</v>
      </c>
    </row>
    <row r="54" spans="1:9" x14ac:dyDescent="0.35">
      <c r="A54" s="14">
        <v>45720</v>
      </c>
      <c r="B54" s="23" t="str">
        <f>TEXT('Brand New Mobile Details Data'!$A54,"MMM")</f>
        <v>Mar</v>
      </c>
      <c r="C54" s="23" t="str">
        <f>TEXT('Brand New Mobile Details Data'!$A54,"dddd")</f>
        <v>Tuesday</v>
      </c>
      <c r="D54" s="24" t="str">
        <f>TEXT('Brand New Mobile Details Data'!$A54,"yyyy")</f>
        <v>2025</v>
      </c>
      <c r="E54" s="8" t="s">
        <v>26</v>
      </c>
      <c r="F54" s="8" t="s">
        <v>18</v>
      </c>
      <c r="G54" s="9">
        <v>70</v>
      </c>
      <c r="H54" s="8" t="s">
        <v>15</v>
      </c>
      <c r="I54" s="8" t="s">
        <v>8</v>
      </c>
    </row>
    <row r="55" spans="1:9" x14ac:dyDescent="0.35">
      <c r="A55" s="14">
        <v>45721</v>
      </c>
      <c r="B55" s="23" t="str">
        <f>TEXT('Brand New Mobile Details Data'!$A55,"MMM")</f>
        <v>Mar</v>
      </c>
      <c r="C55" s="23" t="str">
        <f>TEXT('Brand New Mobile Details Data'!$A55,"dddd")</f>
        <v>Wednesday</v>
      </c>
      <c r="D55" s="24" t="str">
        <f>TEXT('Brand New Mobile Details Data'!$A55,"yyyy")</f>
        <v>2025</v>
      </c>
      <c r="E55" s="8" t="s">
        <v>13</v>
      </c>
      <c r="F55" s="8" t="s">
        <v>28</v>
      </c>
      <c r="G55" s="9">
        <v>80</v>
      </c>
      <c r="H55" s="8" t="s">
        <v>11</v>
      </c>
      <c r="I55" s="8" t="s">
        <v>16</v>
      </c>
    </row>
    <row r="56" spans="1:9" x14ac:dyDescent="0.35">
      <c r="A56" s="12">
        <v>45721</v>
      </c>
      <c r="B56" s="21" t="str">
        <f>TEXT('Brand New Mobile Details Data'!$A56,"MMM")</f>
        <v>Mar</v>
      </c>
      <c r="C56" s="21" t="str">
        <f>TEXT('Brand New Mobile Details Data'!$A56,"dddd")</f>
        <v>Wednesday</v>
      </c>
      <c r="D56" s="22" t="str">
        <f>TEXT('Brand New Mobile Details Data'!$A56,"yyyy")</f>
        <v>2025</v>
      </c>
      <c r="E56" s="3" t="s">
        <v>17</v>
      </c>
      <c r="F56" s="3" t="s">
        <v>14</v>
      </c>
      <c r="G56" s="7">
        <v>120</v>
      </c>
      <c r="H56" s="3" t="s">
        <v>15</v>
      </c>
      <c r="I56" s="3" t="s">
        <v>12</v>
      </c>
    </row>
    <row r="57" spans="1:9" x14ac:dyDescent="0.35">
      <c r="A57" s="14">
        <v>45722</v>
      </c>
      <c r="B57" s="23" t="str">
        <f>TEXT('Brand New Mobile Details Data'!$A57,"MMM")</f>
        <v>Mar</v>
      </c>
      <c r="C57" s="23" t="str">
        <f>TEXT('Brand New Mobile Details Data'!$A57,"dddd")</f>
        <v>Thursday</v>
      </c>
      <c r="D57" s="24" t="str">
        <f>TEXT('Brand New Mobile Details Data'!$A57,"yyyy")</f>
        <v>2025</v>
      </c>
      <c r="E57" s="8" t="s">
        <v>33</v>
      </c>
      <c r="F57" s="8" t="s">
        <v>28</v>
      </c>
      <c r="G57" s="9">
        <v>80</v>
      </c>
      <c r="H57" s="8" t="s">
        <v>21</v>
      </c>
      <c r="I57" s="8" t="s">
        <v>12</v>
      </c>
    </row>
    <row r="58" spans="1:9" x14ac:dyDescent="0.35">
      <c r="A58" s="14">
        <v>45724</v>
      </c>
      <c r="B58" s="23" t="str">
        <f>TEXT('Brand New Mobile Details Data'!$A58,"MMM")</f>
        <v>Mar</v>
      </c>
      <c r="C58" s="23" t="str">
        <f>TEXT('Brand New Mobile Details Data'!$A58,"dddd")</f>
        <v>Saturday</v>
      </c>
      <c r="D58" s="24" t="str">
        <f>TEXT('Brand New Mobile Details Data'!$A58,"yyyy")</f>
        <v>2025</v>
      </c>
      <c r="E58" s="8" t="s">
        <v>45</v>
      </c>
      <c r="F58" s="8" t="s">
        <v>14</v>
      </c>
      <c r="G58" s="9">
        <v>120</v>
      </c>
      <c r="H58" s="8" t="s">
        <v>15</v>
      </c>
      <c r="I58" s="8" t="s">
        <v>8</v>
      </c>
    </row>
    <row r="59" spans="1:9" x14ac:dyDescent="0.35">
      <c r="A59" s="14">
        <v>45725</v>
      </c>
      <c r="B59" s="23" t="str">
        <f>TEXT('Brand New Mobile Details Data'!$A59,"MMM")</f>
        <v>Mar</v>
      </c>
      <c r="C59" s="23" t="str">
        <f>TEXT('Brand New Mobile Details Data'!$A59,"dddd")</f>
        <v>Sunday</v>
      </c>
      <c r="D59" s="24" t="str">
        <f>TEXT('Brand New Mobile Details Data'!$A59,"yyyy")</f>
        <v>2025</v>
      </c>
      <c r="E59" s="8" t="s">
        <v>50</v>
      </c>
      <c r="F59" s="8" t="s">
        <v>18</v>
      </c>
      <c r="G59" s="9">
        <v>70</v>
      </c>
      <c r="H59" s="8" t="s">
        <v>7</v>
      </c>
      <c r="I59" s="8" t="s">
        <v>16</v>
      </c>
    </row>
    <row r="60" spans="1:9" x14ac:dyDescent="0.35">
      <c r="A60" s="12">
        <v>45729</v>
      </c>
      <c r="B60" s="21" t="str">
        <f>TEXT('Brand New Mobile Details Data'!$A60,"MMM")</f>
        <v>Mar</v>
      </c>
      <c r="C60" s="21" t="str">
        <f>TEXT('Brand New Mobile Details Data'!$A60,"dddd")</f>
        <v>Thursday</v>
      </c>
      <c r="D60" s="22" t="str">
        <f>TEXT('Brand New Mobile Details Data'!$A60,"yyyy")</f>
        <v>2025</v>
      </c>
      <c r="E60" s="3" t="s">
        <v>48</v>
      </c>
      <c r="F60" s="3" t="s">
        <v>6</v>
      </c>
      <c r="G60" s="7">
        <v>150</v>
      </c>
      <c r="H60" s="3" t="s">
        <v>19</v>
      </c>
      <c r="I60" s="3" t="s">
        <v>16</v>
      </c>
    </row>
    <row r="61" spans="1:9" x14ac:dyDescent="0.35">
      <c r="A61" s="12">
        <v>45729</v>
      </c>
      <c r="B61" s="21" t="str">
        <f>TEXT('Brand New Mobile Details Data'!$A61,"MMM")</f>
        <v>Mar</v>
      </c>
      <c r="C61" s="21" t="str">
        <f>TEXT('Brand New Mobile Details Data'!$A61,"dddd")</f>
        <v>Thursday</v>
      </c>
      <c r="D61" s="22" t="str">
        <f>TEXT('Brand New Mobile Details Data'!$A61,"yyyy")</f>
        <v>2025</v>
      </c>
      <c r="E61" s="3" t="s">
        <v>17</v>
      </c>
      <c r="F61" s="3" t="s">
        <v>14</v>
      </c>
      <c r="G61" s="7">
        <v>120</v>
      </c>
      <c r="H61" s="3" t="s">
        <v>19</v>
      </c>
      <c r="I61" s="3" t="s">
        <v>8</v>
      </c>
    </row>
    <row r="62" spans="1:9" x14ac:dyDescent="0.35">
      <c r="A62" s="14">
        <v>45730</v>
      </c>
      <c r="B62" s="23" t="str">
        <f>TEXT('Brand New Mobile Details Data'!$A62,"MMM")</f>
        <v>Mar</v>
      </c>
      <c r="C62" s="23" t="str">
        <f>TEXT('Brand New Mobile Details Data'!$A62,"dddd")</f>
        <v>Friday</v>
      </c>
      <c r="D62" s="24" t="str">
        <f>TEXT('Brand New Mobile Details Data'!$A62,"yyyy")</f>
        <v>2025</v>
      </c>
      <c r="E62" s="8" t="s">
        <v>65</v>
      </c>
      <c r="F62" s="8" t="s">
        <v>18</v>
      </c>
      <c r="G62" s="9">
        <v>70</v>
      </c>
      <c r="H62" s="8" t="s">
        <v>7</v>
      </c>
      <c r="I62" s="8" t="s">
        <v>8</v>
      </c>
    </row>
    <row r="63" spans="1:9" x14ac:dyDescent="0.35">
      <c r="A63" s="12">
        <v>45738</v>
      </c>
      <c r="B63" s="21" t="str">
        <f>TEXT('Brand New Mobile Details Data'!$A63,"MMM")</f>
        <v>Mar</v>
      </c>
      <c r="C63" s="21" t="str">
        <f>TEXT('Brand New Mobile Details Data'!$A63,"dddd")</f>
        <v>Saturday</v>
      </c>
      <c r="D63" s="22" t="str">
        <f>TEXT('Brand New Mobile Details Data'!$A63,"yyyy")</f>
        <v>2025</v>
      </c>
      <c r="E63" s="3" t="s">
        <v>34</v>
      </c>
      <c r="F63" s="3" t="s">
        <v>18</v>
      </c>
      <c r="G63" s="7">
        <v>70</v>
      </c>
      <c r="H63" s="3" t="s">
        <v>19</v>
      </c>
      <c r="I63" s="3" t="s">
        <v>12</v>
      </c>
    </row>
    <row r="64" spans="1:9" x14ac:dyDescent="0.35">
      <c r="A64" s="12">
        <v>45739</v>
      </c>
      <c r="B64" s="21" t="str">
        <f>TEXT('Brand New Mobile Details Data'!$A64,"MMM")</f>
        <v>Mar</v>
      </c>
      <c r="C64" s="21" t="str">
        <f>TEXT('Brand New Mobile Details Data'!$A64,"dddd")</f>
        <v>Sunday</v>
      </c>
      <c r="D64" s="22" t="str">
        <f>TEXT('Brand New Mobile Details Data'!$A64,"yyyy")</f>
        <v>2025</v>
      </c>
      <c r="E64" s="3" t="s">
        <v>45</v>
      </c>
      <c r="F64" s="3" t="s">
        <v>28</v>
      </c>
      <c r="G64" s="7">
        <v>80</v>
      </c>
      <c r="H64" s="3" t="s">
        <v>15</v>
      </c>
      <c r="I64" s="3" t="s">
        <v>8</v>
      </c>
    </row>
    <row r="65" spans="1:9" x14ac:dyDescent="0.35">
      <c r="A65" s="12">
        <v>45739</v>
      </c>
      <c r="B65" s="21" t="str">
        <f>TEXT('Brand New Mobile Details Data'!$A65,"MMM")</f>
        <v>Mar</v>
      </c>
      <c r="C65" s="21" t="str">
        <f>TEXT('Brand New Mobile Details Data'!$A65,"dddd")</f>
        <v>Sunday</v>
      </c>
      <c r="D65" s="22" t="str">
        <f>TEXT('Brand New Mobile Details Data'!$A65,"yyyy")</f>
        <v>2025</v>
      </c>
      <c r="E65" s="3" t="s">
        <v>23</v>
      </c>
      <c r="F65" s="3" t="s">
        <v>18</v>
      </c>
      <c r="G65" s="7">
        <v>70</v>
      </c>
      <c r="H65" s="3" t="s">
        <v>19</v>
      </c>
      <c r="I65" s="3" t="s">
        <v>8</v>
      </c>
    </row>
    <row r="66" spans="1:9" x14ac:dyDescent="0.35">
      <c r="A66" s="14">
        <v>45739</v>
      </c>
      <c r="B66" s="23" t="str">
        <f>TEXT('Brand New Mobile Details Data'!$A66,"MMM")</f>
        <v>Mar</v>
      </c>
      <c r="C66" s="23" t="str">
        <f>TEXT('Brand New Mobile Details Data'!$A66,"dddd")</f>
        <v>Sunday</v>
      </c>
      <c r="D66" s="24" t="str">
        <f>TEXT('Brand New Mobile Details Data'!$A66,"yyyy")</f>
        <v>2025</v>
      </c>
      <c r="E66" s="8" t="s">
        <v>58</v>
      </c>
      <c r="F66" s="8" t="s">
        <v>6</v>
      </c>
      <c r="G66" s="9">
        <v>150</v>
      </c>
      <c r="H66" s="8" t="s">
        <v>15</v>
      </c>
      <c r="I66" s="8" t="s">
        <v>12</v>
      </c>
    </row>
    <row r="67" spans="1:9" x14ac:dyDescent="0.35">
      <c r="A67" s="14">
        <v>45740</v>
      </c>
      <c r="B67" s="23" t="str">
        <f>TEXT('Brand New Mobile Details Data'!$A67,"MMM")</f>
        <v>Mar</v>
      </c>
      <c r="C67" s="23" t="str">
        <f>TEXT('Brand New Mobile Details Data'!$A67,"dddd")</f>
        <v>Monday</v>
      </c>
      <c r="D67" s="24" t="str">
        <f>TEXT('Brand New Mobile Details Data'!$A67,"yyyy")</f>
        <v>2025</v>
      </c>
      <c r="E67" s="8" t="s">
        <v>13</v>
      </c>
      <c r="F67" s="8" t="s">
        <v>18</v>
      </c>
      <c r="G67" s="9">
        <v>70</v>
      </c>
      <c r="H67" s="8" t="s">
        <v>7</v>
      </c>
      <c r="I67" s="8" t="s">
        <v>12</v>
      </c>
    </row>
    <row r="68" spans="1:9" x14ac:dyDescent="0.35">
      <c r="A68" s="14">
        <v>45744</v>
      </c>
      <c r="B68" s="23" t="str">
        <f>TEXT('Brand New Mobile Details Data'!$A68,"MMM")</f>
        <v>Mar</v>
      </c>
      <c r="C68" s="23" t="str">
        <f>TEXT('Brand New Mobile Details Data'!$A68,"dddd")</f>
        <v>Friday</v>
      </c>
      <c r="D68" s="24" t="str">
        <f>TEXT('Brand New Mobile Details Data'!$A68,"yyyy")</f>
        <v>2025</v>
      </c>
      <c r="E68" s="8" t="s">
        <v>59</v>
      </c>
      <c r="F68" s="8" t="s">
        <v>28</v>
      </c>
      <c r="G68" s="9">
        <v>80</v>
      </c>
      <c r="H68" s="8" t="s">
        <v>19</v>
      </c>
      <c r="I68" s="8" t="s">
        <v>8</v>
      </c>
    </row>
    <row r="69" spans="1:9" x14ac:dyDescent="0.35">
      <c r="A69" s="12">
        <v>45746</v>
      </c>
      <c r="B69" s="21" t="str">
        <f>TEXT('Brand New Mobile Details Data'!$A69,"MMM")</f>
        <v>Mar</v>
      </c>
      <c r="C69" s="21" t="str">
        <f>TEXT('Brand New Mobile Details Data'!$A69,"dddd")</f>
        <v>Sunday</v>
      </c>
      <c r="D69" s="22" t="str">
        <f>TEXT('Brand New Mobile Details Data'!$A69,"yyyy")</f>
        <v>2025</v>
      </c>
      <c r="E69" s="3" t="s">
        <v>5</v>
      </c>
      <c r="F69" s="3" t="s">
        <v>28</v>
      </c>
      <c r="G69" s="7">
        <v>80</v>
      </c>
      <c r="H69" s="3" t="s">
        <v>15</v>
      </c>
      <c r="I69" s="3" t="s">
        <v>12</v>
      </c>
    </row>
    <row r="70" spans="1:9" x14ac:dyDescent="0.35">
      <c r="A70" s="12">
        <v>45747</v>
      </c>
      <c r="B70" s="21" t="str">
        <f>TEXT('Brand New Mobile Details Data'!$A70,"MMM")</f>
        <v>Mar</v>
      </c>
      <c r="C70" s="21" t="str">
        <f>TEXT('Brand New Mobile Details Data'!$A70,"dddd")</f>
        <v>Monday</v>
      </c>
      <c r="D70" s="22" t="str">
        <f>TEXT('Brand New Mobile Details Data'!$A70,"yyyy")</f>
        <v>2025</v>
      </c>
      <c r="E70" s="3" t="s">
        <v>29</v>
      </c>
      <c r="F70" s="3" t="s">
        <v>28</v>
      </c>
      <c r="G70" s="7">
        <v>80</v>
      </c>
      <c r="H70" s="3" t="s">
        <v>7</v>
      </c>
      <c r="I70" s="3" t="s">
        <v>16</v>
      </c>
    </row>
    <row r="71" spans="1:9" x14ac:dyDescent="0.35">
      <c r="A71" s="14">
        <v>45747</v>
      </c>
      <c r="B71" s="23" t="str">
        <f>TEXT('Brand New Mobile Details Data'!$A71,"MMM")</f>
        <v>Mar</v>
      </c>
      <c r="C71" s="23" t="str">
        <f>TEXT('Brand New Mobile Details Data'!$A71,"dddd")</f>
        <v>Monday</v>
      </c>
      <c r="D71" s="24" t="str">
        <f>TEXT('Brand New Mobile Details Data'!$A71,"yyyy")</f>
        <v>2025</v>
      </c>
      <c r="E71" s="8" t="s">
        <v>26</v>
      </c>
      <c r="F71" s="8" t="s">
        <v>10</v>
      </c>
      <c r="G71" s="9">
        <v>60</v>
      </c>
      <c r="H71" s="8" t="s">
        <v>19</v>
      </c>
      <c r="I71" s="8" t="s">
        <v>16</v>
      </c>
    </row>
    <row r="72" spans="1:9" x14ac:dyDescent="0.35">
      <c r="A72" s="14">
        <v>45749</v>
      </c>
      <c r="B72" s="23" t="str">
        <f>TEXT('Brand New Mobile Details Data'!$A72,"MMM")</f>
        <v>Apr</v>
      </c>
      <c r="C72" s="23" t="str">
        <f>TEXT('Brand New Mobile Details Data'!$A72,"dddd")</f>
        <v>Wednesday</v>
      </c>
      <c r="D72" s="24" t="str">
        <f>TEXT('Brand New Mobile Details Data'!$A72,"yyyy")</f>
        <v>2025</v>
      </c>
      <c r="E72" s="8" t="s">
        <v>25</v>
      </c>
      <c r="F72" s="8" t="s">
        <v>14</v>
      </c>
      <c r="G72" s="9">
        <v>120</v>
      </c>
      <c r="H72" s="8" t="s">
        <v>7</v>
      </c>
      <c r="I72" s="8" t="s">
        <v>16</v>
      </c>
    </row>
    <row r="73" spans="1:9" x14ac:dyDescent="0.35">
      <c r="A73" s="14">
        <v>45751</v>
      </c>
      <c r="B73" s="23" t="str">
        <f>TEXT('Brand New Mobile Details Data'!$A73,"MMM")</f>
        <v>Apr</v>
      </c>
      <c r="C73" s="23" t="str">
        <f>TEXT('Brand New Mobile Details Data'!$A73,"dddd")</f>
        <v>Friday</v>
      </c>
      <c r="D73" s="24" t="str">
        <f>TEXT('Brand New Mobile Details Data'!$A73,"yyyy")</f>
        <v>2025</v>
      </c>
      <c r="E73" s="8" t="s">
        <v>64</v>
      </c>
      <c r="F73" s="8" t="s">
        <v>28</v>
      </c>
      <c r="G73" s="9">
        <v>80</v>
      </c>
      <c r="H73" s="8" t="s">
        <v>19</v>
      </c>
      <c r="I73" s="8" t="s">
        <v>8</v>
      </c>
    </row>
    <row r="74" spans="1:9" x14ac:dyDescent="0.35">
      <c r="A74" s="12">
        <v>45753</v>
      </c>
      <c r="B74" s="21" t="str">
        <f>TEXT('Brand New Mobile Details Data'!$A74,"MMM")</f>
        <v>Apr</v>
      </c>
      <c r="C74" s="21" t="str">
        <f>TEXT('Brand New Mobile Details Data'!$A74,"dddd")</f>
        <v>Sunday</v>
      </c>
      <c r="D74" s="22" t="str">
        <f>TEXT('Brand New Mobile Details Data'!$A74,"yyyy")</f>
        <v>2025</v>
      </c>
      <c r="E74" s="3" t="s">
        <v>47</v>
      </c>
      <c r="F74" s="3" t="s">
        <v>28</v>
      </c>
      <c r="G74" s="7">
        <v>80</v>
      </c>
      <c r="H74" s="3" t="s">
        <v>15</v>
      </c>
      <c r="I74" s="3" t="s">
        <v>16</v>
      </c>
    </row>
    <row r="75" spans="1:9" x14ac:dyDescent="0.35">
      <c r="A75" s="14">
        <v>45754</v>
      </c>
      <c r="B75" s="23" t="str">
        <f>TEXT('Brand New Mobile Details Data'!$A75,"MMM")</f>
        <v>Apr</v>
      </c>
      <c r="C75" s="23" t="str">
        <f>TEXT('Brand New Mobile Details Data'!$A75,"dddd")</f>
        <v>Monday</v>
      </c>
      <c r="D75" s="24" t="str">
        <f>TEXT('Brand New Mobile Details Data'!$A75,"yyyy")</f>
        <v>2025</v>
      </c>
      <c r="E75" s="8" t="s">
        <v>34</v>
      </c>
      <c r="F75" s="8" t="s">
        <v>14</v>
      </c>
      <c r="G75" s="9">
        <v>120</v>
      </c>
      <c r="H75" s="8" t="s">
        <v>7</v>
      </c>
      <c r="I75" s="8" t="s">
        <v>16</v>
      </c>
    </row>
    <row r="76" spans="1:9" x14ac:dyDescent="0.35">
      <c r="A76" s="14">
        <v>45755</v>
      </c>
      <c r="B76" s="23" t="str">
        <f>TEXT('Brand New Mobile Details Data'!$A76,"MMM")</f>
        <v>Apr</v>
      </c>
      <c r="C76" s="23" t="str">
        <f>TEXT('Brand New Mobile Details Data'!$A76,"dddd")</f>
        <v>Tuesday</v>
      </c>
      <c r="D76" s="24" t="str">
        <f>TEXT('Brand New Mobile Details Data'!$A76,"yyyy")</f>
        <v>2025</v>
      </c>
      <c r="E76" s="8" t="s">
        <v>17</v>
      </c>
      <c r="F76" s="8" t="s">
        <v>18</v>
      </c>
      <c r="G76" s="9">
        <v>70</v>
      </c>
      <c r="H76" s="8" t="s">
        <v>19</v>
      </c>
      <c r="I76" s="8" t="s">
        <v>12</v>
      </c>
    </row>
    <row r="77" spans="1:9" x14ac:dyDescent="0.35">
      <c r="A77" s="14">
        <v>45756</v>
      </c>
      <c r="B77" s="23" t="str">
        <f>TEXT('Brand New Mobile Details Data'!$A77,"MMM")</f>
        <v>Apr</v>
      </c>
      <c r="C77" s="23" t="str">
        <f>TEXT('Brand New Mobile Details Data'!$A77,"dddd")</f>
        <v>Wednesday</v>
      </c>
      <c r="D77" s="24" t="str">
        <f>TEXT('Brand New Mobile Details Data'!$A77,"yyyy")</f>
        <v>2025</v>
      </c>
      <c r="E77" s="8" t="s">
        <v>38</v>
      </c>
      <c r="F77" s="8" t="s">
        <v>10</v>
      </c>
      <c r="G77" s="9">
        <v>60</v>
      </c>
      <c r="H77" s="8" t="s">
        <v>21</v>
      </c>
      <c r="I77" s="8" t="s">
        <v>12</v>
      </c>
    </row>
    <row r="78" spans="1:9" x14ac:dyDescent="0.35">
      <c r="A78" s="12">
        <v>45756</v>
      </c>
      <c r="B78" s="21" t="str">
        <f>TEXT('Brand New Mobile Details Data'!$A78,"MMM")</f>
        <v>Apr</v>
      </c>
      <c r="C78" s="21" t="str">
        <f>TEXT('Brand New Mobile Details Data'!$A78,"dddd")</f>
        <v>Wednesday</v>
      </c>
      <c r="D78" s="22" t="str">
        <f>TEXT('Brand New Mobile Details Data'!$A78,"yyyy")</f>
        <v>2025</v>
      </c>
      <c r="E78" s="3" t="s">
        <v>31</v>
      </c>
      <c r="F78" s="3" t="s">
        <v>28</v>
      </c>
      <c r="G78" s="7">
        <v>80</v>
      </c>
      <c r="H78" s="3" t="s">
        <v>21</v>
      </c>
      <c r="I78" s="3" t="s">
        <v>8</v>
      </c>
    </row>
    <row r="79" spans="1:9" x14ac:dyDescent="0.35">
      <c r="A79" s="14">
        <v>45756</v>
      </c>
      <c r="B79" s="23" t="str">
        <f>TEXT('Brand New Mobile Details Data'!$A79,"MMM")</f>
        <v>Apr</v>
      </c>
      <c r="C79" s="23" t="str">
        <f>TEXT('Brand New Mobile Details Data'!$A79,"dddd")</f>
        <v>Wednesday</v>
      </c>
      <c r="D79" s="24" t="str">
        <f>TEXT('Brand New Mobile Details Data'!$A79,"yyyy")</f>
        <v>2025</v>
      </c>
      <c r="E79" s="8" t="s">
        <v>20</v>
      </c>
      <c r="F79" s="8" t="s">
        <v>18</v>
      </c>
      <c r="G79" s="9">
        <v>70</v>
      </c>
      <c r="H79" s="8" t="s">
        <v>15</v>
      </c>
      <c r="I79" s="8" t="s">
        <v>12</v>
      </c>
    </row>
    <row r="80" spans="1:9" x14ac:dyDescent="0.35">
      <c r="A80" s="14">
        <v>45757</v>
      </c>
      <c r="B80" s="23" t="str">
        <f>TEXT('Brand New Mobile Details Data'!$A80,"MMM")</f>
        <v>Apr</v>
      </c>
      <c r="C80" s="23" t="str">
        <f>TEXT('Brand New Mobile Details Data'!$A80,"dddd")</f>
        <v>Thursday</v>
      </c>
      <c r="D80" s="24" t="str">
        <f>TEXT('Brand New Mobile Details Data'!$A80,"yyyy")</f>
        <v>2025</v>
      </c>
      <c r="E80" s="8" t="s">
        <v>41</v>
      </c>
      <c r="F80" s="8" t="s">
        <v>10</v>
      </c>
      <c r="G80" s="9">
        <v>60</v>
      </c>
      <c r="H80" s="8" t="s">
        <v>11</v>
      </c>
      <c r="I80" s="8" t="s">
        <v>12</v>
      </c>
    </row>
    <row r="81" spans="1:9" x14ac:dyDescent="0.35">
      <c r="A81" s="12">
        <v>45758</v>
      </c>
      <c r="B81" s="21" t="str">
        <f>TEXT('Brand New Mobile Details Data'!$A81,"MMM")</f>
        <v>Apr</v>
      </c>
      <c r="C81" s="21" t="str">
        <f>TEXT('Brand New Mobile Details Data'!$A81,"dddd")</f>
        <v>Friday</v>
      </c>
      <c r="D81" s="22" t="str">
        <f>TEXT('Brand New Mobile Details Data'!$A81,"yyyy")</f>
        <v>2025</v>
      </c>
      <c r="E81" s="3" t="s">
        <v>27</v>
      </c>
      <c r="F81" s="3" t="s">
        <v>28</v>
      </c>
      <c r="G81" s="7">
        <v>80</v>
      </c>
      <c r="H81" s="3" t="s">
        <v>21</v>
      </c>
      <c r="I81" s="3" t="s">
        <v>8</v>
      </c>
    </row>
    <row r="82" spans="1:9" x14ac:dyDescent="0.35">
      <c r="A82" s="14">
        <v>45759</v>
      </c>
      <c r="B82" s="23" t="str">
        <f>TEXT('Brand New Mobile Details Data'!$A82,"MMM")</f>
        <v>Apr</v>
      </c>
      <c r="C82" s="23" t="str">
        <f>TEXT('Brand New Mobile Details Data'!$A82,"dddd")</f>
        <v>Saturday</v>
      </c>
      <c r="D82" s="24" t="str">
        <f>TEXT('Brand New Mobile Details Data'!$A82,"yyyy")</f>
        <v>2025</v>
      </c>
      <c r="E82" s="8" t="s">
        <v>20</v>
      </c>
      <c r="F82" s="8" t="s">
        <v>14</v>
      </c>
      <c r="G82" s="9">
        <v>120</v>
      </c>
      <c r="H82" s="8" t="s">
        <v>21</v>
      </c>
      <c r="I82" s="8" t="s">
        <v>16</v>
      </c>
    </row>
    <row r="83" spans="1:9" x14ac:dyDescent="0.35">
      <c r="A83" s="14">
        <v>45762</v>
      </c>
      <c r="B83" s="23" t="str">
        <f>TEXT('Brand New Mobile Details Data'!$A83,"MMM")</f>
        <v>Apr</v>
      </c>
      <c r="C83" s="23" t="str">
        <f>TEXT('Brand New Mobile Details Data'!$A83,"dddd")</f>
        <v>Tuesday</v>
      </c>
      <c r="D83" s="24" t="str">
        <f>TEXT('Brand New Mobile Details Data'!$A83,"yyyy")</f>
        <v>2025</v>
      </c>
      <c r="E83" s="8" t="s">
        <v>35</v>
      </c>
      <c r="F83" s="8" t="s">
        <v>6</v>
      </c>
      <c r="G83" s="9">
        <v>150</v>
      </c>
      <c r="H83" s="8" t="s">
        <v>21</v>
      </c>
      <c r="I83" s="8" t="s">
        <v>8</v>
      </c>
    </row>
    <row r="84" spans="1:9" x14ac:dyDescent="0.35">
      <c r="A84" s="14">
        <v>45762</v>
      </c>
      <c r="B84" s="23" t="str">
        <f>TEXT('Brand New Mobile Details Data'!$A84,"MMM")</f>
        <v>Apr</v>
      </c>
      <c r="C84" s="23" t="str">
        <f>TEXT('Brand New Mobile Details Data'!$A84,"dddd")</f>
        <v>Tuesday</v>
      </c>
      <c r="D84" s="24" t="str">
        <f>TEXT('Brand New Mobile Details Data'!$A84,"yyyy")</f>
        <v>2025</v>
      </c>
      <c r="E84" s="8" t="s">
        <v>37</v>
      </c>
      <c r="F84" s="8" t="s">
        <v>18</v>
      </c>
      <c r="G84" s="9">
        <v>70</v>
      </c>
      <c r="H84" s="8" t="s">
        <v>11</v>
      </c>
      <c r="I84" s="8" t="s">
        <v>8</v>
      </c>
    </row>
    <row r="85" spans="1:9" x14ac:dyDescent="0.35">
      <c r="A85" s="12">
        <v>45767</v>
      </c>
      <c r="B85" s="21" t="str">
        <f>TEXT('Brand New Mobile Details Data'!$A85,"MMM")</f>
        <v>Apr</v>
      </c>
      <c r="C85" s="21" t="str">
        <f>TEXT('Brand New Mobile Details Data'!$A85,"dddd")</f>
        <v>Sunday</v>
      </c>
      <c r="D85" s="22" t="str">
        <f>TEXT('Brand New Mobile Details Data'!$A85,"yyyy")</f>
        <v>2025</v>
      </c>
      <c r="E85" s="3" t="s">
        <v>33</v>
      </c>
      <c r="F85" s="3" t="s">
        <v>18</v>
      </c>
      <c r="G85" s="7">
        <v>70</v>
      </c>
      <c r="H85" s="3" t="s">
        <v>11</v>
      </c>
      <c r="I85" s="3" t="s">
        <v>12</v>
      </c>
    </row>
    <row r="86" spans="1:9" x14ac:dyDescent="0.35">
      <c r="A86" s="14">
        <v>45768</v>
      </c>
      <c r="B86" s="23" t="str">
        <f>TEXT('Brand New Mobile Details Data'!$A86,"MMM")</f>
        <v>Apr</v>
      </c>
      <c r="C86" s="23" t="str">
        <f>TEXT('Brand New Mobile Details Data'!$A86,"dddd")</f>
        <v>Monday</v>
      </c>
      <c r="D86" s="24" t="str">
        <f>TEXT('Brand New Mobile Details Data'!$A86,"yyyy")</f>
        <v>2025</v>
      </c>
      <c r="E86" s="8" t="s">
        <v>44</v>
      </c>
      <c r="F86" s="8" t="s">
        <v>10</v>
      </c>
      <c r="G86" s="9">
        <v>60</v>
      </c>
      <c r="H86" s="8" t="s">
        <v>11</v>
      </c>
      <c r="I86" s="8" t="s">
        <v>12</v>
      </c>
    </row>
    <row r="87" spans="1:9" x14ac:dyDescent="0.35">
      <c r="A87" s="12">
        <v>45768</v>
      </c>
      <c r="B87" s="21" t="str">
        <f>TEXT('Brand New Mobile Details Data'!$A87,"MMM")</f>
        <v>Apr</v>
      </c>
      <c r="C87" s="21" t="str">
        <f>TEXT('Brand New Mobile Details Data'!$A87,"dddd")</f>
        <v>Monday</v>
      </c>
      <c r="D87" s="22" t="str">
        <f>TEXT('Brand New Mobile Details Data'!$A87,"yyyy")</f>
        <v>2025</v>
      </c>
      <c r="E87" s="3" t="s">
        <v>44</v>
      </c>
      <c r="F87" s="3" t="s">
        <v>6</v>
      </c>
      <c r="G87" s="7">
        <v>150</v>
      </c>
      <c r="H87" s="3" t="s">
        <v>15</v>
      </c>
      <c r="I87" s="3" t="s">
        <v>16</v>
      </c>
    </row>
    <row r="88" spans="1:9" x14ac:dyDescent="0.35">
      <c r="A88" s="14">
        <v>45772</v>
      </c>
      <c r="B88" s="23" t="str">
        <f>TEXT('Brand New Mobile Details Data'!$A88,"MMM")</f>
        <v>Apr</v>
      </c>
      <c r="C88" s="23" t="str">
        <f>TEXT('Brand New Mobile Details Data'!$A88,"dddd")</f>
        <v>Friday</v>
      </c>
      <c r="D88" s="24" t="str">
        <f>TEXT('Brand New Mobile Details Data'!$A88,"yyyy")</f>
        <v>2025</v>
      </c>
      <c r="E88" s="8" t="s">
        <v>25</v>
      </c>
      <c r="F88" s="8" t="s">
        <v>6</v>
      </c>
      <c r="G88" s="9">
        <v>150</v>
      </c>
      <c r="H88" s="8" t="s">
        <v>15</v>
      </c>
      <c r="I88" s="8" t="s">
        <v>16</v>
      </c>
    </row>
    <row r="89" spans="1:9" x14ac:dyDescent="0.35">
      <c r="A89" s="14">
        <v>45774</v>
      </c>
      <c r="B89" s="23" t="str">
        <f>TEXT('Brand New Mobile Details Data'!$A89,"MMM")</f>
        <v>Apr</v>
      </c>
      <c r="C89" s="23" t="str">
        <f>TEXT('Brand New Mobile Details Data'!$A89,"dddd")</f>
        <v>Sunday</v>
      </c>
      <c r="D89" s="24" t="str">
        <f>TEXT('Brand New Mobile Details Data'!$A89,"yyyy")</f>
        <v>2025</v>
      </c>
      <c r="E89" s="8" t="s">
        <v>20</v>
      </c>
      <c r="F89" s="8" t="s">
        <v>28</v>
      </c>
      <c r="G89" s="9">
        <v>80</v>
      </c>
      <c r="H89" s="8" t="s">
        <v>15</v>
      </c>
      <c r="I89" s="8" t="s">
        <v>16</v>
      </c>
    </row>
    <row r="90" spans="1:9" x14ac:dyDescent="0.35">
      <c r="A90" s="14">
        <v>45776</v>
      </c>
      <c r="B90" s="23" t="str">
        <f>TEXT('Brand New Mobile Details Data'!$A90,"MMM")</f>
        <v>Apr</v>
      </c>
      <c r="C90" s="23" t="str">
        <f>TEXT('Brand New Mobile Details Data'!$A90,"dddd")</f>
        <v>Tuesday</v>
      </c>
      <c r="D90" s="24" t="str">
        <f>TEXT('Brand New Mobile Details Data'!$A90,"yyyy")</f>
        <v>2025</v>
      </c>
      <c r="E90" s="8" t="s">
        <v>58</v>
      </c>
      <c r="F90" s="8" t="s">
        <v>10</v>
      </c>
      <c r="G90" s="9">
        <v>60</v>
      </c>
      <c r="H90" s="8" t="s">
        <v>19</v>
      </c>
      <c r="I90" s="8" t="s">
        <v>12</v>
      </c>
    </row>
    <row r="91" spans="1:9" x14ac:dyDescent="0.35">
      <c r="A91" s="14">
        <v>45777</v>
      </c>
      <c r="B91" s="23" t="str">
        <f>TEXT('Brand New Mobile Details Data'!$A91,"MMM")</f>
        <v>Apr</v>
      </c>
      <c r="C91" s="23" t="str">
        <f>TEXT('Brand New Mobile Details Data'!$A91,"dddd")</f>
        <v>Wednesday</v>
      </c>
      <c r="D91" s="24" t="str">
        <f>TEXT('Brand New Mobile Details Data'!$A91,"yyyy")</f>
        <v>2025</v>
      </c>
      <c r="E91" s="8" t="s">
        <v>33</v>
      </c>
      <c r="F91" s="8" t="s">
        <v>10</v>
      </c>
      <c r="G91" s="9">
        <v>60</v>
      </c>
      <c r="H91" s="8" t="s">
        <v>19</v>
      </c>
      <c r="I91" s="8" t="s">
        <v>16</v>
      </c>
    </row>
    <row r="92" spans="1:9" x14ac:dyDescent="0.35">
      <c r="A92" s="14">
        <v>45777</v>
      </c>
      <c r="B92" s="23" t="str">
        <f>TEXT('Brand New Mobile Details Data'!$A92,"MMM")</f>
        <v>Apr</v>
      </c>
      <c r="C92" s="23" t="str">
        <f>TEXT('Brand New Mobile Details Data'!$A92,"dddd")</f>
        <v>Wednesday</v>
      </c>
      <c r="D92" s="24" t="str">
        <f>TEXT('Brand New Mobile Details Data'!$A92,"yyyy")</f>
        <v>2025</v>
      </c>
      <c r="E92" s="8" t="s">
        <v>58</v>
      </c>
      <c r="F92" s="8" t="s">
        <v>14</v>
      </c>
      <c r="G92" s="9">
        <v>120</v>
      </c>
      <c r="H92" s="8" t="s">
        <v>7</v>
      </c>
      <c r="I92" s="8" t="s">
        <v>16</v>
      </c>
    </row>
    <row r="93" spans="1:9" x14ac:dyDescent="0.35">
      <c r="A93" s="14">
        <v>45778</v>
      </c>
      <c r="B93" s="23" t="str">
        <f>TEXT('Brand New Mobile Details Data'!$A93,"MMM")</f>
        <v>May</v>
      </c>
      <c r="C93" s="23" t="str">
        <f>TEXT('Brand New Mobile Details Data'!$A93,"dddd")</f>
        <v>Thursday</v>
      </c>
      <c r="D93" s="24" t="str">
        <f>TEXT('Brand New Mobile Details Data'!$A93,"yyyy")</f>
        <v>2025</v>
      </c>
      <c r="E93" s="8" t="s">
        <v>25</v>
      </c>
      <c r="F93" s="8" t="s">
        <v>28</v>
      </c>
      <c r="G93" s="9">
        <v>80</v>
      </c>
      <c r="H93" s="8" t="s">
        <v>15</v>
      </c>
      <c r="I93" s="8" t="s">
        <v>16</v>
      </c>
    </row>
    <row r="94" spans="1:9" x14ac:dyDescent="0.35">
      <c r="A94" s="14">
        <v>45778</v>
      </c>
      <c r="B94" s="23" t="str">
        <f>TEXT('Brand New Mobile Details Data'!$A94,"MMM")</f>
        <v>May</v>
      </c>
      <c r="C94" s="23" t="str">
        <f>TEXT('Brand New Mobile Details Data'!$A94,"dddd")</f>
        <v>Thursday</v>
      </c>
      <c r="D94" s="24" t="str">
        <f>TEXT('Brand New Mobile Details Data'!$A94,"yyyy")</f>
        <v>2025</v>
      </c>
      <c r="E94" s="8" t="s">
        <v>38</v>
      </c>
      <c r="F94" s="8" t="s">
        <v>18</v>
      </c>
      <c r="G94" s="9">
        <v>70</v>
      </c>
      <c r="H94" s="8" t="s">
        <v>19</v>
      </c>
      <c r="I94" s="8" t="s">
        <v>16</v>
      </c>
    </row>
    <row r="95" spans="1:9" x14ac:dyDescent="0.35">
      <c r="A95" s="14">
        <v>45779</v>
      </c>
      <c r="B95" s="23" t="str">
        <f>TEXT('Brand New Mobile Details Data'!$A95,"MMM")</f>
        <v>May</v>
      </c>
      <c r="C95" s="23" t="str">
        <f>TEXT('Brand New Mobile Details Data'!$A95,"dddd")</f>
        <v>Friday</v>
      </c>
      <c r="D95" s="24" t="str">
        <f>TEXT('Brand New Mobile Details Data'!$A95,"yyyy")</f>
        <v>2025</v>
      </c>
      <c r="E95" s="8" t="s">
        <v>37</v>
      </c>
      <c r="F95" s="8" t="s">
        <v>6</v>
      </c>
      <c r="G95" s="9">
        <v>150</v>
      </c>
      <c r="H95" s="8" t="s">
        <v>15</v>
      </c>
      <c r="I95" s="8" t="s">
        <v>16</v>
      </c>
    </row>
    <row r="96" spans="1:9" x14ac:dyDescent="0.35">
      <c r="A96" s="12">
        <v>45780</v>
      </c>
      <c r="B96" s="21" t="str">
        <f>TEXT('Brand New Mobile Details Data'!$A96,"MMM")</f>
        <v>May</v>
      </c>
      <c r="C96" s="21" t="str">
        <f>TEXT('Brand New Mobile Details Data'!$A96,"dddd")</f>
        <v>Saturday</v>
      </c>
      <c r="D96" s="22" t="str">
        <f>TEXT('Brand New Mobile Details Data'!$A96,"yyyy")</f>
        <v>2025</v>
      </c>
      <c r="E96" s="3" t="s">
        <v>32</v>
      </c>
      <c r="F96" s="3" t="s">
        <v>14</v>
      </c>
      <c r="G96" s="7">
        <v>120</v>
      </c>
      <c r="H96" s="3" t="s">
        <v>21</v>
      </c>
      <c r="I96" s="3" t="s">
        <v>12</v>
      </c>
    </row>
    <row r="97" spans="1:9" x14ac:dyDescent="0.35">
      <c r="A97" s="12">
        <v>45781</v>
      </c>
      <c r="B97" s="21" t="str">
        <f>TEXT('Brand New Mobile Details Data'!$A97,"MMM")</f>
        <v>May</v>
      </c>
      <c r="C97" s="21" t="str">
        <f>TEXT('Brand New Mobile Details Data'!$A97,"dddd")</f>
        <v>Sunday</v>
      </c>
      <c r="D97" s="22" t="str">
        <f>TEXT('Brand New Mobile Details Data'!$A97,"yyyy")</f>
        <v>2025</v>
      </c>
      <c r="E97" s="3" t="s">
        <v>30</v>
      </c>
      <c r="F97" s="3" t="s">
        <v>28</v>
      </c>
      <c r="G97" s="7">
        <v>80</v>
      </c>
      <c r="H97" s="3" t="s">
        <v>19</v>
      </c>
      <c r="I97" s="3" t="s">
        <v>8</v>
      </c>
    </row>
    <row r="98" spans="1:9" x14ac:dyDescent="0.35">
      <c r="A98" s="12">
        <v>45781</v>
      </c>
      <c r="B98" s="21" t="str">
        <f>TEXT('Brand New Mobile Details Data'!$A98,"MMM")</f>
        <v>May</v>
      </c>
      <c r="C98" s="21" t="str">
        <f>TEXT('Brand New Mobile Details Data'!$A98,"dddd")</f>
        <v>Sunday</v>
      </c>
      <c r="D98" s="22" t="str">
        <f>TEXT('Brand New Mobile Details Data'!$A98,"yyyy")</f>
        <v>2025</v>
      </c>
      <c r="E98" s="3" t="s">
        <v>45</v>
      </c>
      <c r="F98" s="3" t="s">
        <v>6</v>
      </c>
      <c r="G98" s="7">
        <v>150</v>
      </c>
      <c r="H98" s="3" t="s">
        <v>15</v>
      </c>
      <c r="I98" s="3" t="s">
        <v>8</v>
      </c>
    </row>
    <row r="99" spans="1:9" x14ac:dyDescent="0.35">
      <c r="A99" s="14">
        <v>45788</v>
      </c>
      <c r="B99" s="23" t="str">
        <f>TEXT('Brand New Mobile Details Data'!$A99,"MMM")</f>
        <v>May</v>
      </c>
      <c r="C99" s="23" t="str">
        <f>TEXT('Brand New Mobile Details Data'!$A99,"dddd")</f>
        <v>Sunday</v>
      </c>
      <c r="D99" s="24" t="str">
        <f>TEXT('Brand New Mobile Details Data'!$A99,"yyyy")</f>
        <v>2025</v>
      </c>
      <c r="E99" s="8" t="s">
        <v>35</v>
      </c>
      <c r="F99" s="8" t="s">
        <v>18</v>
      </c>
      <c r="G99" s="9">
        <v>70</v>
      </c>
      <c r="H99" s="8" t="s">
        <v>19</v>
      </c>
      <c r="I99" s="8" t="s">
        <v>16</v>
      </c>
    </row>
    <row r="100" spans="1:9" x14ac:dyDescent="0.35">
      <c r="A100" s="12">
        <v>45789</v>
      </c>
      <c r="B100" s="21" t="str">
        <f>TEXT('Brand New Mobile Details Data'!$A100,"MMM")</f>
        <v>May</v>
      </c>
      <c r="C100" s="21" t="str">
        <f>TEXT('Brand New Mobile Details Data'!$A100,"dddd")</f>
        <v>Monday</v>
      </c>
      <c r="D100" s="22" t="str">
        <f>TEXT('Brand New Mobile Details Data'!$A100,"yyyy")</f>
        <v>2025</v>
      </c>
      <c r="E100" s="3" t="s">
        <v>51</v>
      </c>
      <c r="F100" s="3" t="s">
        <v>28</v>
      </c>
      <c r="G100" s="7">
        <v>80</v>
      </c>
      <c r="H100" s="3" t="s">
        <v>19</v>
      </c>
      <c r="I100" s="3" t="s">
        <v>16</v>
      </c>
    </row>
    <row r="101" spans="1:9" x14ac:dyDescent="0.35">
      <c r="A101" s="12">
        <v>45790</v>
      </c>
      <c r="B101" s="21" t="str">
        <f>TEXT('Brand New Mobile Details Data'!$A101,"MMM")</f>
        <v>May</v>
      </c>
      <c r="C101" s="21" t="str">
        <f>TEXT('Brand New Mobile Details Data'!$A101,"dddd")</f>
        <v>Tuesday</v>
      </c>
      <c r="D101" s="22" t="str">
        <f>TEXT('Brand New Mobile Details Data'!$A101,"yyyy")</f>
        <v>2025</v>
      </c>
      <c r="E101" s="3" t="s">
        <v>57</v>
      </c>
      <c r="F101" s="3" t="s">
        <v>14</v>
      </c>
      <c r="G101" s="7">
        <v>120</v>
      </c>
      <c r="H101" s="3" t="s">
        <v>7</v>
      </c>
      <c r="I101" s="3" t="s">
        <v>8</v>
      </c>
    </row>
    <row r="102" spans="1:9" x14ac:dyDescent="0.35">
      <c r="A102" s="14">
        <v>45792</v>
      </c>
      <c r="B102" s="23" t="str">
        <f>TEXT('Brand New Mobile Details Data'!$A102,"MMM")</f>
        <v>May</v>
      </c>
      <c r="C102" s="23" t="str">
        <f>TEXT('Brand New Mobile Details Data'!$A102,"dddd")</f>
        <v>Thursday</v>
      </c>
      <c r="D102" s="24" t="str">
        <f>TEXT('Brand New Mobile Details Data'!$A102,"yyyy")</f>
        <v>2025</v>
      </c>
      <c r="E102" s="8" t="s">
        <v>25</v>
      </c>
      <c r="F102" s="8" t="s">
        <v>14</v>
      </c>
      <c r="G102" s="9">
        <v>120</v>
      </c>
      <c r="H102" s="8" t="s">
        <v>19</v>
      </c>
      <c r="I102" s="8" t="s">
        <v>12</v>
      </c>
    </row>
    <row r="103" spans="1:9" x14ac:dyDescent="0.35">
      <c r="A103" s="14">
        <v>45793</v>
      </c>
      <c r="B103" s="23" t="str">
        <f>TEXT('Brand New Mobile Details Data'!$A103,"MMM")</f>
        <v>May</v>
      </c>
      <c r="C103" s="23" t="str">
        <f>TEXT('Brand New Mobile Details Data'!$A103,"dddd")</f>
        <v>Friday</v>
      </c>
      <c r="D103" s="24" t="str">
        <f>TEXT('Brand New Mobile Details Data'!$A103,"yyyy")</f>
        <v>2025</v>
      </c>
      <c r="E103" s="8" t="s">
        <v>38</v>
      </c>
      <c r="F103" s="8" t="s">
        <v>10</v>
      </c>
      <c r="G103" s="9">
        <v>60</v>
      </c>
      <c r="H103" s="8" t="s">
        <v>7</v>
      </c>
      <c r="I103" s="8" t="s">
        <v>8</v>
      </c>
    </row>
    <row r="104" spans="1:9" x14ac:dyDescent="0.35">
      <c r="A104" s="14">
        <v>45794</v>
      </c>
      <c r="B104" s="23" t="str">
        <f>TEXT('Brand New Mobile Details Data'!$A104,"MMM")</f>
        <v>May</v>
      </c>
      <c r="C104" s="23" t="str">
        <f>TEXT('Brand New Mobile Details Data'!$A104,"dddd")</f>
        <v>Saturday</v>
      </c>
      <c r="D104" s="24" t="str">
        <f>TEXT('Brand New Mobile Details Data'!$A104,"yyyy")</f>
        <v>2025</v>
      </c>
      <c r="E104" s="8" t="s">
        <v>36</v>
      </c>
      <c r="F104" s="8" t="s">
        <v>28</v>
      </c>
      <c r="G104" s="9">
        <v>80</v>
      </c>
      <c r="H104" s="8" t="s">
        <v>19</v>
      </c>
      <c r="I104" s="8" t="s">
        <v>8</v>
      </c>
    </row>
    <row r="105" spans="1:9" x14ac:dyDescent="0.35">
      <c r="A105" s="12">
        <v>45794</v>
      </c>
      <c r="B105" s="21" t="str">
        <f>TEXT('Brand New Mobile Details Data'!$A105,"MMM")</f>
        <v>May</v>
      </c>
      <c r="C105" s="21" t="str">
        <f>TEXT('Brand New Mobile Details Data'!$A105,"dddd")</f>
        <v>Saturday</v>
      </c>
      <c r="D105" s="22" t="str">
        <f>TEXT('Brand New Mobile Details Data'!$A105,"yyyy")</f>
        <v>2025</v>
      </c>
      <c r="E105" s="3" t="s">
        <v>20</v>
      </c>
      <c r="F105" s="3" t="s">
        <v>10</v>
      </c>
      <c r="G105" s="7">
        <v>60</v>
      </c>
      <c r="H105" s="3" t="s">
        <v>11</v>
      </c>
      <c r="I105" s="3" t="s">
        <v>16</v>
      </c>
    </row>
    <row r="106" spans="1:9" x14ac:dyDescent="0.35">
      <c r="A106" s="14">
        <v>45795</v>
      </c>
      <c r="B106" s="23" t="str">
        <f>TEXT('Brand New Mobile Details Data'!$A106,"MMM")</f>
        <v>May</v>
      </c>
      <c r="C106" s="23" t="str">
        <f>TEXT('Brand New Mobile Details Data'!$A106,"dddd")</f>
        <v>Sunday</v>
      </c>
      <c r="D106" s="24" t="str">
        <f>TEXT('Brand New Mobile Details Data'!$A106,"yyyy")</f>
        <v>2025</v>
      </c>
      <c r="E106" s="8" t="s">
        <v>49</v>
      </c>
      <c r="F106" s="8" t="s">
        <v>6</v>
      </c>
      <c r="G106" s="9">
        <v>150</v>
      </c>
      <c r="H106" s="8" t="s">
        <v>7</v>
      </c>
      <c r="I106" s="8" t="s">
        <v>12</v>
      </c>
    </row>
    <row r="107" spans="1:9" x14ac:dyDescent="0.35">
      <c r="A107" s="12">
        <v>45797</v>
      </c>
      <c r="B107" s="21" t="str">
        <f>TEXT('Brand New Mobile Details Data'!$A107,"MMM")</f>
        <v>May</v>
      </c>
      <c r="C107" s="21" t="str">
        <f>TEXT('Brand New Mobile Details Data'!$A107,"dddd")</f>
        <v>Tuesday</v>
      </c>
      <c r="D107" s="22" t="str">
        <f>TEXT('Brand New Mobile Details Data'!$A107,"yyyy")</f>
        <v>2025</v>
      </c>
      <c r="E107" s="3" t="s">
        <v>42</v>
      </c>
      <c r="F107" s="3" t="s">
        <v>6</v>
      </c>
      <c r="G107" s="7">
        <v>150</v>
      </c>
      <c r="H107" s="3" t="s">
        <v>11</v>
      </c>
      <c r="I107" s="3" t="s">
        <v>8</v>
      </c>
    </row>
    <row r="108" spans="1:9" x14ac:dyDescent="0.35">
      <c r="A108" s="14">
        <v>45797</v>
      </c>
      <c r="B108" s="23" t="str">
        <f>TEXT('Brand New Mobile Details Data'!$A108,"MMM")</f>
        <v>May</v>
      </c>
      <c r="C108" s="23" t="str">
        <f>TEXT('Brand New Mobile Details Data'!$A108,"dddd")</f>
        <v>Tuesday</v>
      </c>
      <c r="D108" s="24" t="str">
        <f>TEXT('Brand New Mobile Details Data'!$A108,"yyyy")</f>
        <v>2025</v>
      </c>
      <c r="E108" s="8" t="s">
        <v>33</v>
      </c>
      <c r="F108" s="8" t="s">
        <v>6</v>
      </c>
      <c r="G108" s="9">
        <v>150</v>
      </c>
      <c r="H108" s="8" t="s">
        <v>21</v>
      </c>
      <c r="I108" s="8" t="s">
        <v>12</v>
      </c>
    </row>
    <row r="109" spans="1:9" x14ac:dyDescent="0.35">
      <c r="A109" s="14">
        <v>45797</v>
      </c>
      <c r="B109" s="23" t="str">
        <f>TEXT('Brand New Mobile Details Data'!$A109,"MMM")</f>
        <v>May</v>
      </c>
      <c r="C109" s="23" t="str">
        <f>TEXT('Brand New Mobile Details Data'!$A109,"dddd")</f>
        <v>Tuesday</v>
      </c>
      <c r="D109" s="24" t="str">
        <f>TEXT('Brand New Mobile Details Data'!$A109,"yyyy")</f>
        <v>2025</v>
      </c>
      <c r="E109" s="8" t="s">
        <v>48</v>
      </c>
      <c r="F109" s="8" t="s">
        <v>28</v>
      </c>
      <c r="G109" s="9">
        <v>80</v>
      </c>
      <c r="H109" s="8" t="s">
        <v>11</v>
      </c>
      <c r="I109" s="8" t="s">
        <v>16</v>
      </c>
    </row>
    <row r="110" spans="1:9" x14ac:dyDescent="0.35">
      <c r="A110" s="12">
        <v>45798</v>
      </c>
      <c r="B110" s="21" t="str">
        <f>TEXT('Brand New Mobile Details Data'!$A110,"MMM")</f>
        <v>May</v>
      </c>
      <c r="C110" s="21" t="str">
        <f>TEXT('Brand New Mobile Details Data'!$A110,"dddd")</f>
        <v>Wednesday</v>
      </c>
      <c r="D110" s="22" t="str">
        <f>TEXT('Brand New Mobile Details Data'!$A110,"yyyy")</f>
        <v>2025</v>
      </c>
      <c r="E110" s="3" t="s">
        <v>31</v>
      </c>
      <c r="F110" s="3" t="s">
        <v>14</v>
      </c>
      <c r="G110" s="7">
        <v>120</v>
      </c>
      <c r="H110" s="3" t="s">
        <v>11</v>
      </c>
      <c r="I110" s="3" t="s">
        <v>16</v>
      </c>
    </row>
    <row r="111" spans="1:9" x14ac:dyDescent="0.35">
      <c r="A111" s="12">
        <v>45798</v>
      </c>
      <c r="B111" s="21" t="str">
        <f>TEXT('Brand New Mobile Details Data'!$A111,"MMM")</f>
        <v>May</v>
      </c>
      <c r="C111" s="21" t="str">
        <f>TEXT('Brand New Mobile Details Data'!$A111,"dddd")</f>
        <v>Wednesday</v>
      </c>
      <c r="D111" s="22" t="str">
        <f>TEXT('Brand New Mobile Details Data'!$A111,"yyyy")</f>
        <v>2025</v>
      </c>
      <c r="E111" s="3" t="s">
        <v>40</v>
      </c>
      <c r="F111" s="3" t="s">
        <v>10</v>
      </c>
      <c r="G111" s="7">
        <v>60</v>
      </c>
      <c r="H111" s="3" t="s">
        <v>11</v>
      </c>
      <c r="I111" s="3" t="s">
        <v>8</v>
      </c>
    </row>
    <row r="112" spans="1:9" x14ac:dyDescent="0.35">
      <c r="A112" s="14">
        <v>45804</v>
      </c>
      <c r="B112" s="23" t="str">
        <f>TEXT('Brand New Mobile Details Data'!$A112,"MMM")</f>
        <v>May</v>
      </c>
      <c r="C112" s="23" t="str">
        <f>TEXT('Brand New Mobile Details Data'!$A112,"dddd")</f>
        <v>Tuesday</v>
      </c>
      <c r="D112" s="24" t="str">
        <f>TEXT('Brand New Mobile Details Data'!$A112,"yyyy")</f>
        <v>2025</v>
      </c>
      <c r="E112" s="8" t="s">
        <v>54</v>
      </c>
      <c r="F112" s="8" t="s">
        <v>18</v>
      </c>
      <c r="G112" s="9">
        <v>70</v>
      </c>
      <c r="H112" s="8" t="s">
        <v>15</v>
      </c>
      <c r="I112" s="8" t="s">
        <v>12</v>
      </c>
    </row>
    <row r="113" spans="1:9" x14ac:dyDescent="0.35">
      <c r="A113" s="14">
        <v>45805</v>
      </c>
      <c r="B113" s="23" t="str">
        <f>TEXT('Brand New Mobile Details Data'!$A113,"MMM")</f>
        <v>May</v>
      </c>
      <c r="C113" s="23" t="str">
        <f>TEXT('Brand New Mobile Details Data'!$A113,"dddd")</f>
        <v>Wednesday</v>
      </c>
      <c r="D113" s="24" t="str">
        <f>TEXT('Brand New Mobile Details Data'!$A113,"yyyy")</f>
        <v>2025</v>
      </c>
      <c r="E113" s="8" t="s">
        <v>25</v>
      </c>
      <c r="F113" s="8" t="s">
        <v>18</v>
      </c>
      <c r="G113" s="9">
        <v>70</v>
      </c>
      <c r="H113" s="8" t="s">
        <v>11</v>
      </c>
      <c r="I113" s="8" t="s">
        <v>8</v>
      </c>
    </row>
    <row r="114" spans="1:9" x14ac:dyDescent="0.35">
      <c r="A114" s="12">
        <v>45805</v>
      </c>
      <c r="B114" s="21" t="str">
        <f>TEXT('Brand New Mobile Details Data'!$A114,"MMM")</f>
        <v>May</v>
      </c>
      <c r="C114" s="21" t="str">
        <f>TEXT('Brand New Mobile Details Data'!$A114,"dddd")</f>
        <v>Wednesday</v>
      </c>
      <c r="D114" s="22" t="str">
        <f>TEXT('Brand New Mobile Details Data'!$A114,"yyyy")</f>
        <v>2025</v>
      </c>
      <c r="E114" s="3" t="s">
        <v>52</v>
      </c>
      <c r="F114" s="3" t="s">
        <v>6</v>
      </c>
      <c r="G114" s="7">
        <v>150</v>
      </c>
      <c r="H114" s="3" t="s">
        <v>19</v>
      </c>
      <c r="I114" s="3" t="s">
        <v>16</v>
      </c>
    </row>
    <row r="115" spans="1:9" x14ac:dyDescent="0.35">
      <c r="A115" s="14">
        <v>45805</v>
      </c>
      <c r="B115" s="23" t="str">
        <f>TEXT('Brand New Mobile Details Data'!$A115,"MMM")</f>
        <v>May</v>
      </c>
      <c r="C115" s="23" t="str">
        <f>TEXT('Brand New Mobile Details Data'!$A115,"dddd")</f>
        <v>Wednesday</v>
      </c>
      <c r="D115" s="24" t="str">
        <f>TEXT('Brand New Mobile Details Data'!$A115,"yyyy")</f>
        <v>2025</v>
      </c>
      <c r="E115" s="8" t="s">
        <v>57</v>
      </c>
      <c r="F115" s="8" t="s">
        <v>28</v>
      </c>
      <c r="G115" s="9">
        <v>80</v>
      </c>
      <c r="H115" s="8" t="s">
        <v>15</v>
      </c>
      <c r="I115" s="8" t="s">
        <v>12</v>
      </c>
    </row>
    <row r="116" spans="1:9" x14ac:dyDescent="0.35">
      <c r="A116" s="12">
        <v>45806</v>
      </c>
      <c r="B116" s="21" t="str">
        <f>TEXT('Brand New Mobile Details Data'!$A116,"MMM")</f>
        <v>May</v>
      </c>
      <c r="C116" s="21" t="str">
        <f>TEXT('Brand New Mobile Details Data'!$A116,"dddd")</f>
        <v>Thursday</v>
      </c>
      <c r="D116" s="22" t="str">
        <f>TEXT('Brand New Mobile Details Data'!$A116,"yyyy")</f>
        <v>2025</v>
      </c>
      <c r="E116" s="3" t="s">
        <v>31</v>
      </c>
      <c r="F116" s="3" t="s">
        <v>6</v>
      </c>
      <c r="G116" s="7">
        <v>150</v>
      </c>
      <c r="H116" s="3" t="s">
        <v>15</v>
      </c>
      <c r="I116" s="3" t="s">
        <v>16</v>
      </c>
    </row>
    <row r="117" spans="1:9" x14ac:dyDescent="0.35">
      <c r="A117" s="14">
        <v>45807</v>
      </c>
      <c r="B117" s="23" t="str">
        <f>TEXT('Brand New Mobile Details Data'!$A117,"MMM")</f>
        <v>May</v>
      </c>
      <c r="C117" s="23" t="str">
        <f>TEXT('Brand New Mobile Details Data'!$A117,"dddd")</f>
        <v>Friday</v>
      </c>
      <c r="D117" s="24" t="str">
        <f>TEXT('Brand New Mobile Details Data'!$A117,"yyyy")</f>
        <v>2025</v>
      </c>
      <c r="E117" s="8" t="s">
        <v>38</v>
      </c>
      <c r="F117" s="8" t="s">
        <v>28</v>
      </c>
      <c r="G117" s="9">
        <v>80</v>
      </c>
      <c r="H117" s="8" t="s">
        <v>15</v>
      </c>
      <c r="I117" s="8" t="s">
        <v>16</v>
      </c>
    </row>
    <row r="118" spans="1:9" x14ac:dyDescent="0.35">
      <c r="A118" s="14">
        <v>45807</v>
      </c>
      <c r="B118" s="23" t="str">
        <f>TEXT('Brand New Mobile Details Data'!$A118,"MMM")</f>
        <v>May</v>
      </c>
      <c r="C118" s="23" t="str">
        <f>TEXT('Brand New Mobile Details Data'!$A118,"dddd")</f>
        <v>Friday</v>
      </c>
      <c r="D118" s="24" t="str">
        <f>TEXT('Brand New Mobile Details Data'!$A118,"yyyy")</f>
        <v>2025</v>
      </c>
      <c r="E118" s="8" t="s">
        <v>56</v>
      </c>
      <c r="F118" s="8" t="s">
        <v>10</v>
      </c>
      <c r="G118" s="9">
        <v>60</v>
      </c>
      <c r="H118" s="8" t="s">
        <v>7</v>
      </c>
      <c r="I118" s="8" t="s">
        <v>12</v>
      </c>
    </row>
    <row r="119" spans="1:9" x14ac:dyDescent="0.35">
      <c r="A119" s="12">
        <v>45807</v>
      </c>
      <c r="B119" s="21" t="str">
        <f>TEXT('Brand New Mobile Details Data'!$A119,"MMM")</f>
        <v>May</v>
      </c>
      <c r="C119" s="21" t="str">
        <f>TEXT('Brand New Mobile Details Data'!$A119,"dddd")</f>
        <v>Friday</v>
      </c>
      <c r="D119" s="22" t="str">
        <f>TEXT('Brand New Mobile Details Data'!$A119,"yyyy")</f>
        <v>2025</v>
      </c>
      <c r="E119" s="3" t="s">
        <v>32</v>
      </c>
      <c r="F119" s="3" t="s">
        <v>28</v>
      </c>
      <c r="G119" s="7">
        <v>80</v>
      </c>
      <c r="H119" s="3" t="s">
        <v>19</v>
      </c>
      <c r="I119" s="3" t="s">
        <v>8</v>
      </c>
    </row>
    <row r="120" spans="1:9" x14ac:dyDescent="0.35">
      <c r="A120" s="12">
        <v>45807</v>
      </c>
      <c r="B120" s="21" t="str">
        <f>TEXT('Brand New Mobile Details Data'!$A120,"MMM")</f>
        <v>May</v>
      </c>
      <c r="C120" s="21" t="str">
        <f>TEXT('Brand New Mobile Details Data'!$A120,"dddd")</f>
        <v>Friday</v>
      </c>
      <c r="D120" s="22" t="str">
        <f>TEXT('Brand New Mobile Details Data'!$A120,"yyyy")</f>
        <v>2025</v>
      </c>
      <c r="E120" s="3" t="s">
        <v>31</v>
      </c>
      <c r="F120" s="3" t="s">
        <v>10</v>
      </c>
      <c r="G120" s="7">
        <v>60</v>
      </c>
      <c r="H120" s="3" t="s">
        <v>7</v>
      </c>
      <c r="I120" s="3" t="s">
        <v>12</v>
      </c>
    </row>
    <row r="121" spans="1:9" x14ac:dyDescent="0.35">
      <c r="A121" s="12">
        <v>45809</v>
      </c>
      <c r="B121" s="21" t="str">
        <f>TEXT('Brand New Mobile Details Data'!$A121,"MMM")</f>
        <v>Jun</v>
      </c>
      <c r="C121" s="21" t="str">
        <f>TEXT('Brand New Mobile Details Data'!$A121,"dddd")</f>
        <v>Sunday</v>
      </c>
      <c r="D121" s="22" t="str">
        <f>TEXT('Brand New Mobile Details Data'!$A121,"yyyy")</f>
        <v>2025</v>
      </c>
      <c r="E121" s="3" t="s">
        <v>58</v>
      </c>
      <c r="F121" s="3" t="s">
        <v>28</v>
      </c>
      <c r="G121" s="7">
        <v>80</v>
      </c>
      <c r="H121" s="3" t="s">
        <v>19</v>
      </c>
      <c r="I121" s="3" t="s">
        <v>12</v>
      </c>
    </row>
    <row r="122" spans="1:9" x14ac:dyDescent="0.35">
      <c r="A122" s="14">
        <v>45809</v>
      </c>
      <c r="B122" s="23" t="str">
        <f>TEXT('Brand New Mobile Details Data'!$A122,"MMM")</f>
        <v>Jun</v>
      </c>
      <c r="C122" s="23" t="str">
        <f>TEXT('Brand New Mobile Details Data'!$A122,"dddd")</f>
        <v>Sunday</v>
      </c>
      <c r="D122" s="24" t="str">
        <f>TEXT('Brand New Mobile Details Data'!$A122,"yyyy")</f>
        <v>2025</v>
      </c>
      <c r="E122" s="8" t="s">
        <v>50</v>
      </c>
      <c r="F122" s="8" t="s">
        <v>28</v>
      </c>
      <c r="G122" s="9">
        <v>80</v>
      </c>
      <c r="H122" s="8" t="s">
        <v>11</v>
      </c>
      <c r="I122" s="8" t="s">
        <v>8</v>
      </c>
    </row>
    <row r="123" spans="1:9" x14ac:dyDescent="0.35">
      <c r="A123" s="12">
        <v>45810</v>
      </c>
      <c r="B123" s="21" t="str">
        <f>TEXT('Brand New Mobile Details Data'!$A123,"MMM")</f>
        <v>Jun</v>
      </c>
      <c r="C123" s="21" t="str">
        <f>TEXT('Brand New Mobile Details Data'!$A123,"dddd")</f>
        <v>Monday</v>
      </c>
      <c r="D123" s="22" t="str">
        <f>TEXT('Brand New Mobile Details Data'!$A123,"yyyy")</f>
        <v>2025</v>
      </c>
      <c r="E123" s="3" t="s">
        <v>48</v>
      </c>
      <c r="F123" s="3" t="s">
        <v>6</v>
      </c>
      <c r="G123" s="7">
        <v>150</v>
      </c>
      <c r="H123" s="3" t="s">
        <v>7</v>
      </c>
      <c r="I123" s="3" t="s">
        <v>16</v>
      </c>
    </row>
    <row r="124" spans="1:9" x14ac:dyDescent="0.35">
      <c r="A124" s="12">
        <v>45810</v>
      </c>
      <c r="B124" s="21" t="str">
        <f>TEXT('Brand New Mobile Details Data'!$A124,"MMM")</f>
        <v>Jun</v>
      </c>
      <c r="C124" s="21" t="str">
        <f>TEXT('Brand New Mobile Details Data'!$A124,"dddd")</f>
        <v>Monday</v>
      </c>
      <c r="D124" s="22" t="str">
        <f>TEXT('Brand New Mobile Details Data'!$A124,"yyyy")</f>
        <v>2025</v>
      </c>
      <c r="E124" s="3" t="s">
        <v>62</v>
      </c>
      <c r="F124" s="3" t="s">
        <v>6</v>
      </c>
      <c r="G124" s="7">
        <v>150</v>
      </c>
      <c r="H124" s="3" t="s">
        <v>7</v>
      </c>
      <c r="I124" s="3" t="s">
        <v>12</v>
      </c>
    </row>
    <row r="125" spans="1:9" x14ac:dyDescent="0.35">
      <c r="A125" s="12">
        <v>45810</v>
      </c>
      <c r="B125" s="21" t="str">
        <f>TEXT('Brand New Mobile Details Data'!$A125,"MMM")</f>
        <v>Jun</v>
      </c>
      <c r="C125" s="21" t="str">
        <f>TEXT('Brand New Mobile Details Data'!$A125,"dddd")</f>
        <v>Monday</v>
      </c>
      <c r="D125" s="22" t="str">
        <f>TEXT('Brand New Mobile Details Data'!$A125,"yyyy")</f>
        <v>2025</v>
      </c>
      <c r="E125" s="3" t="s">
        <v>41</v>
      </c>
      <c r="F125" s="3" t="s">
        <v>28</v>
      </c>
      <c r="G125" s="7">
        <v>80</v>
      </c>
      <c r="H125" s="3" t="s">
        <v>15</v>
      </c>
      <c r="I125" s="3" t="s">
        <v>16</v>
      </c>
    </row>
    <row r="126" spans="1:9" x14ac:dyDescent="0.35">
      <c r="A126" s="12">
        <v>45811</v>
      </c>
      <c r="B126" s="21" t="str">
        <f>TEXT('Brand New Mobile Details Data'!$A126,"MMM")</f>
        <v>Jun</v>
      </c>
      <c r="C126" s="21" t="str">
        <f>TEXT('Brand New Mobile Details Data'!$A126,"dddd")</f>
        <v>Tuesday</v>
      </c>
      <c r="D126" s="22" t="str">
        <f>TEXT('Brand New Mobile Details Data'!$A126,"yyyy")</f>
        <v>2025</v>
      </c>
      <c r="E126" s="3" t="s">
        <v>29</v>
      </c>
      <c r="F126" s="3" t="s">
        <v>18</v>
      </c>
      <c r="G126" s="7">
        <v>70</v>
      </c>
      <c r="H126" s="3" t="s">
        <v>19</v>
      </c>
      <c r="I126" s="3" t="s">
        <v>16</v>
      </c>
    </row>
    <row r="127" spans="1:9" x14ac:dyDescent="0.35">
      <c r="A127" s="14">
        <v>45814</v>
      </c>
      <c r="B127" s="23" t="str">
        <f>TEXT('Brand New Mobile Details Data'!$A127,"MMM")</f>
        <v>Jun</v>
      </c>
      <c r="C127" s="23" t="str">
        <f>TEXT('Brand New Mobile Details Data'!$A127,"dddd")</f>
        <v>Friday</v>
      </c>
      <c r="D127" s="24" t="str">
        <f>TEXT('Brand New Mobile Details Data'!$A127,"yyyy")</f>
        <v>2025</v>
      </c>
      <c r="E127" s="8" t="s">
        <v>31</v>
      </c>
      <c r="F127" s="8" t="s">
        <v>6</v>
      </c>
      <c r="G127" s="9">
        <v>150</v>
      </c>
      <c r="H127" s="8" t="s">
        <v>11</v>
      </c>
      <c r="I127" s="8" t="s">
        <v>12</v>
      </c>
    </row>
    <row r="128" spans="1:9" x14ac:dyDescent="0.35">
      <c r="A128" s="14">
        <v>45815</v>
      </c>
      <c r="B128" s="23" t="str">
        <f>TEXT('Brand New Mobile Details Data'!$A128,"MMM")</f>
        <v>Jun</v>
      </c>
      <c r="C128" s="23" t="str">
        <f>TEXT('Brand New Mobile Details Data'!$A128,"dddd")</f>
        <v>Saturday</v>
      </c>
      <c r="D128" s="24" t="str">
        <f>TEXT('Brand New Mobile Details Data'!$A128,"yyyy")</f>
        <v>2025</v>
      </c>
      <c r="E128" s="8" t="s">
        <v>13</v>
      </c>
      <c r="F128" s="8" t="s">
        <v>28</v>
      </c>
      <c r="G128" s="9">
        <v>80</v>
      </c>
      <c r="H128" s="8" t="s">
        <v>21</v>
      </c>
      <c r="I128" s="8" t="s">
        <v>16</v>
      </c>
    </row>
    <row r="129" spans="1:9" x14ac:dyDescent="0.35">
      <c r="A129" s="12">
        <v>45815</v>
      </c>
      <c r="B129" s="21" t="str">
        <f>TEXT('Brand New Mobile Details Data'!$A129,"MMM")</f>
        <v>Jun</v>
      </c>
      <c r="C129" s="21" t="str">
        <f>TEXT('Brand New Mobile Details Data'!$A129,"dddd")</f>
        <v>Saturday</v>
      </c>
      <c r="D129" s="22" t="str">
        <f>TEXT('Brand New Mobile Details Data'!$A129,"yyyy")</f>
        <v>2025</v>
      </c>
      <c r="E129" s="3" t="s">
        <v>17</v>
      </c>
      <c r="F129" s="3" t="s">
        <v>28</v>
      </c>
      <c r="G129" s="7">
        <v>80</v>
      </c>
      <c r="H129" s="3" t="s">
        <v>19</v>
      </c>
      <c r="I129" s="3" t="s">
        <v>16</v>
      </c>
    </row>
    <row r="130" spans="1:9" x14ac:dyDescent="0.35">
      <c r="A130" s="12">
        <v>45816</v>
      </c>
      <c r="B130" s="21" t="str">
        <f>TEXT('Brand New Mobile Details Data'!$A130,"MMM")</f>
        <v>Jun</v>
      </c>
      <c r="C130" s="21" t="str">
        <f>TEXT('Brand New Mobile Details Data'!$A130,"dddd")</f>
        <v>Sunday</v>
      </c>
      <c r="D130" s="22" t="str">
        <f>TEXT('Brand New Mobile Details Data'!$A130,"yyyy")</f>
        <v>2025</v>
      </c>
      <c r="E130" s="3" t="s">
        <v>57</v>
      </c>
      <c r="F130" s="3" t="s">
        <v>18</v>
      </c>
      <c r="G130" s="7">
        <v>70</v>
      </c>
      <c r="H130" s="3" t="s">
        <v>7</v>
      </c>
      <c r="I130" s="3" t="s">
        <v>12</v>
      </c>
    </row>
    <row r="131" spans="1:9" x14ac:dyDescent="0.35">
      <c r="A131" s="14">
        <v>45817</v>
      </c>
      <c r="B131" s="23" t="str">
        <f>TEXT('Brand New Mobile Details Data'!$A131,"MMM")</f>
        <v>Jun</v>
      </c>
      <c r="C131" s="23" t="str">
        <f>TEXT('Brand New Mobile Details Data'!$A131,"dddd")</f>
        <v>Monday</v>
      </c>
      <c r="D131" s="24" t="str">
        <f>TEXT('Brand New Mobile Details Data'!$A131,"yyyy")</f>
        <v>2025</v>
      </c>
      <c r="E131" s="8" t="s">
        <v>32</v>
      </c>
      <c r="F131" s="8" t="s">
        <v>28</v>
      </c>
      <c r="G131" s="9">
        <v>80</v>
      </c>
      <c r="H131" s="8" t="s">
        <v>19</v>
      </c>
      <c r="I131" s="8" t="s">
        <v>8</v>
      </c>
    </row>
    <row r="132" spans="1:9" x14ac:dyDescent="0.35">
      <c r="A132" s="14">
        <v>45819</v>
      </c>
      <c r="B132" s="23" t="str">
        <f>TEXT('Brand New Mobile Details Data'!$A132,"MMM")</f>
        <v>Jun</v>
      </c>
      <c r="C132" s="23" t="str">
        <f>TEXT('Brand New Mobile Details Data'!$A132,"dddd")</f>
        <v>Wednesday</v>
      </c>
      <c r="D132" s="24" t="str">
        <f>TEXT('Brand New Mobile Details Data'!$A132,"yyyy")</f>
        <v>2025</v>
      </c>
      <c r="E132" s="8" t="s">
        <v>50</v>
      </c>
      <c r="F132" s="8" t="s">
        <v>28</v>
      </c>
      <c r="G132" s="9">
        <v>80</v>
      </c>
      <c r="H132" s="8" t="s">
        <v>7</v>
      </c>
      <c r="I132" s="8" t="s">
        <v>16</v>
      </c>
    </row>
    <row r="133" spans="1:9" x14ac:dyDescent="0.35">
      <c r="A133" s="12">
        <v>45820</v>
      </c>
      <c r="B133" s="21" t="str">
        <f>TEXT('Brand New Mobile Details Data'!$A133,"MMM")</f>
        <v>Jun</v>
      </c>
      <c r="C133" s="21" t="str">
        <f>TEXT('Brand New Mobile Details Data'!$A133,"dddd")</f>
        <v>Thursday</v>
      </c>
      <c r="D133" s="22" t="str">
        <f>TEXT('Brand New Mobile Details Data'!$A133,"yyyy")</f>
        <v>2025</v>
      </c>
      <c r="E133" s="3" t="s">
        <v>36</v>
      </c>
      <c r="F133" s="3" t="s">
        <v>14</v>
      </c>
      <c r="G133" s="7">
        <v>120</v>
      </c>
      <c r="H133" s="3" t="s">
        <v>7</v>
      </c>
      <c r="I133" s="3" t="s">
        <v>8</v>
      </c>
    </row>
    <row r="134" spans="1:9" x14ac:dyDescent="0.35">
      <c r="A134" s="12">
        <v>45820</v>
      </c>
      <c r="B134" s="21" t="str">
        <f>TEXT('Brand New Mobile Details Data'!$A134,"MMM")</f>
        <v>Jun</v>
      </c>
      <c r="C134" s="21" t="str">
        <f>TEXT('Brand New Mobile Details Data'!$A134,"dddd")</f>
        <v>Thursday</v>
      </c>
      <c r="D134" s="22" t="str">
        <f>TEXT('Brand New Mobile Details Data'!$A134,"yyyy")</f>
        <v>2025</v>
      </c>
      <c r="E134" s="3" t="s">
        <v>35</v>
      </c>
      <c r="F134" s="3" t="s">
        <v>14</v>
      </c>
      <c r="G134" s="7">
        <v>120</v>
      </c>
      <c r="H134" s="3" t="s">
        <v>21</v>
      </c>
      <c r="I134" s="3" t="s">
        <v>12</v>
      </c>
    </row>
    <row r="135" spans="1:9" x14ac:dyDescent="0.35">
      <c r="A135" s="12">
        <v>45821</v>
      </c>
      <c r="B135" s="21" t="str">
        <f>TEXT('Brand New Mobile Details Data'!$A135,"MMM")</f>
        <v>Jun</v>
      </c>
      <c r="C135" s="21" t="str">
        <f>TEXT('Brand New Mobile Details Data'!$A135,"dddd")</f>
        <v>Friday</v>
      </c>
      <c r="D135" s="22" t="str">
        <f>TEXT('Brand New Mobile Details Data'!$A135,"yyyy")</f>
        <v>2025</v>
      </c>
      <c r="E135" s="3" t="s">
        <v>30</v>
      </c>
      <c r="F135" s="3" t="s">
        <v>18</v>
      </c>
      <c r="G135" s="7">
        <v>70</v>
      </c>
      <c r="H135" s="3" t="s">
        <v>15</v>
      </c>
      <c r="I135" s="3" t="s">
        <v>8</v>
      </c>
    </row>
    <row r="136" spans="1:9" x14ac:dyDescent="0.35">
      <c r="A136" s="14">
        <v>45822</v>
      </c>
      <c r="B136" s="23" t="str">
        <f>TEXT('Brand New Mobile Details Data'!$A136,"MMM")</f>
        <v>Jun</v>
      </c>
      <c r="C136" s="23" t="str">
        <f>TEXT('Brand New Mobile Details Data'!$A136,"dddd")</f>
        <v>Saturday</v>
      </c>
      <c r="D136" s="24" t="str">
        <f>TEXT('Brand New Mobile Details Data'!$A136,"yyyy")</f>
        <v>2025</v>
      </c>
      <c r="E136" s="8" t="s">
        <v>55</v>
      </c>
      <c r="F136" s="8" t="s">
        <v>18</v>
      </c>
      <c r="G136" s="9">
        <v>70</v>
      </c>
      <c r="H136" s="8" t="s">
        <v>7</v>
      </c>
      <c r="I136" s="8" t="s">
        <v>16</v>
      </c>
    </row>
    <row r="137" spans="1:9" x14ac:dyDescent="0.35">
      <c r="A137" s="14">
        <v>45822</v>
      </c>
      <c r="B137" s="23" t="str">
        <f>TEXT('Brand New Mobile Details Data'!$A137,"MMM")</f>
        <v>Jun</v>
      </c>
      <c r="C137" s="23" t="str">
        <f>TEXT('Brand New Mobile Details Data'!$A137,"dddd")</f>
        <v>Saturday</v>
      </c>
      <c r="D137" s="24" t="str">
        <f>TEXT('Brand New Mobile Details Data'!$A137,"yyyy")</f>
        <v>2025</v>
      </c>
      <c r="E137" s="8" t="s">
        <v>57</v>
      </c>
      <c r="F137" s="8" t="s">
        <v>14</v>
      </c>
      <c r="G137" s="9">
        <v>120</v>
      </c>
      <c r="H137" s="8" t="s">
        <v>11</v>
      </c>
      <c r="I137" s="8" t="s">
        <v>12</v>
      </c>
    </row>
    <row r="138" spans="1:9" x14ac:dyDescent="0.35">
      <c r="A138" s="12">
        <v>45822</v>
      </c>
      <c r="B138" s="21" t="str">
        <f>TEXT('Brand New Mobile Details Data'!$A138,"MMM")</f>
        <v>Jun</v>
      </c>
      <c r="C138" s="21" t="str">
        <f>TEXT('Brand New Mobile Details Data'!$A138,"dddd")</f>
        <v>Saturday</v>
      </c>
      <c r="D138" s="22" t="str">
        <f>TEXT('Brand New Mobile Details Data'!$A138,"yyyy")</f>
        <v>2025</v>
      </c>
      <c r="E138" s="3" t="s">
        <v>45</v>
      </c>
      <c r="F138" s="3" t="s">
        <v>18</v>
      </c>
      <c r="G138" s="7">
        <v>70</v>
      </c>
      <c r="H138" s="3" t="s">
        <v>11</v>
      </c>
      <c r="I138" s="3" t="s">
        <v>8</v>
      </c>
    </row>
    <row r="139" spans="1:9" x14ac:dyDescent="0.35">
      <c r="A139" s="14">
        <v>45822</v>
      </c>
      <c r="B139" s="23" t="str">
        <f>TEXT('Brand New Mobile Details Data'!$A139,"MMM")</f>
        <v>Jun</v>
      </c>
      <c r="C139" s="23" t="str">
        <f>TEXT('Brand New Mobile Details Data'!$A139,"dddd")</f>
        <v>Saturday</v>
      </c>
      <c r="D139" s="24" t="str">
        <f>TEXT('Brand New Mobile Details Data'!$A139,"yyyy")</f>
        <v>2025</v>
      </c>
      <c r="E139" s="8" t="s">
        <v>58</v>
      </c>
      <c r="F139" s="8" t="s">
        <v>28</v>
      </c>
      <c r="G139" s="9">
        <v>80</v>
      </c>
      <c r="H139" s="8" t="s">
        <v>15</v>
      </c>
      <c r="I139" s="8" t="s">
        <v>16</v>
      </c>
    </row>
    <row r="140" spans="1:9" x14ac:dyDescent="0.35">
      <c r="A140" s="12">
        <v>45822</v>
      </c>
      <c r="B140" s="21" t="str">
        <f>TEXT('Brand New Mobile Details Data'!$A140,"MMM")</f>
        <v>Jun</v>
      </c>
      <c r="C140" s="21" t="str">
        <f>TEXT('Brand New Mobile Details Data'!$A140,"dddd")</f>
        <v>Saturday</v>
      </c>
      <c r="D140" s="22" t="str">
        <f>TEXT('Brand New Mobile Details Data'!$A140,"yyyy")</f>
        <v>2025</v>
      </c>
      <c r="E140" s="3" t="s">
        <v>48</v>
      </c>
      <c r="F140" s="3" t="s">
        <v>18</v>
      </c>
      <c r="G140" s="7">
        <v>70</v>
      </c>
      <c r="H140" s="3" t="s">
        <v>21</v>
      </c>
      <c r="I140" s="3" t="s">
        <v>8</v>
      </c>
    </row>
    <row r="141" spans="1:9" x14ac:dyDescent="0.35">
      <c r="A141" s="14">
        <v>45824</v>
      </c>
      <c r="B141" s="23" t="str">
        <f>TEXT('Brand New Mobile Details Data'!$A141,"MMM")</f>
        <v>Jun</v>
      </c>
      <c r="C141" s="23" t="str">
        <f>TEXT('Brand New Mobile Details Data'!$A141,"dddd")</f>
        <v>Monday</v>
      </c>
      <c r="D141" s="24" t="str">
        <f>TEXT('Brand New Mobile Details Data'!$A141,"yyyy")</f>
        <v>2025</v>
      </c>
      <c r="E141" s="8" t="s">
        <v>53</v>
      </c>
      <c r="F141" s="8" t="s">
        <v>14</v>
      </c>
      <c r="G141" s="9">
        <v>120</v>
      </c>
      <c r="H141" s="8" t="s">
        <v>11</v>
      </c>
      <c r="I141" s="8" t="s">
        <v>16</v>
      </c>
    </row>
    <row r="142" spans="1:9" x14ac:dyDescent="0.35">
      <c r="A142" s="14">
        <v>45825</v>
      </c>
      <c r="B142" s="23" t="str">
        <f>TEXT('Brand New Mobile Details Data'!$A142,"MMM")</f>
        <v>Jun</v>
      </c>
      <c r="C142" s="23" t="str">
        <f>TEXT('Brand New Mobile Details Data'!$A142,"dddd")</f>
        <v>Tuesday</v>
      </c>
      <c r="D142" s="24" t="str">
        <f>TEXT('Brand New Mobile Details Data'!$A142,"yyyy")</f>
        <v>2025</v>
      </c>
      <c r="E142" s="8" t="s">
        <v>43</v>
      </c>
      <c r="F142" s="8" t="s">
        <v>6</v>
      </c>
      <c r="G142" s="9">
        <v>150</v>
      </c>
      <c r="H142" s="8" t="s">
        <v>11</v>
      </c>
      <c r="I142" s="8" t="s">
        <v>16</v>
      </c>
    </row>
    <row r="143" spans="1:9" x14ac:dyDescent="0.35">
      <c r="A143" s="12">
        <v>45826</v>
      </c>
      <c r="B143" s="21" t="str">
        <f>TEXT('Brand New Mobile Details Data'!$A143,"MMM")</f>
        <v>Jun</v>
      </c>
      <c r="C143" s="21" t="str">
        <f>TEXT('Brand New Mobile Details Data'!$A143,"dddd")</f>
        <v>Wednesday</v>
      </c>
      <c r="D143" s="22" t="str">
        <f>TEXT('Brand New Mobile Details Data'!$A143,"yyyy")</f>
        <v>2025</v>
      </c>
      <c r="E143" s="3" t="s">
        <v>17</v>
      </c>
      <c r="F143" s="3" t="s">
        <v>18</v>
      </c>
      <c r="G143" s="7">
        <v>70</v>
      </c>
      <c r="H143" s="3" t="s">
        <v>19</v>
      </c>
      <c r="I143" s="3" t="s">
        <v>12</v>
      </c>
    </row>
    <row r="144" spans="1:9" x14ac:dyDescent="0.35">
      <c r="A144" s="12">
        <v>45826</v>
      </c>
      <c r="B144" s="21" t="str">
        <f>TEXT('Brand New Mobile Details Data'!$A144,"MMM")</f>
        <v>Jun</v>
      </c>
      <c r="C144" s="21" t="str">
        <f>TEXT('Brand New Mobile Details Data'!$A144,"dddd")</f>
        <v>Wednesday</v>
      </c>
      <c r="D144" s="22" t="str">
        <f>TEXT('Brand New Mobile Details Data'!$A144,"yyyy")</f>
        <v>2025</v>
      </c>
      <c r="E144" s="3" t="s">
        <v>40</v>
      </c>
      <c r="F144" s="3" t="s">
        <v>14</v>
      </c>
      <c r="G144" s="7">
        <v>120</v>
      </c>
      <c r="H144" s="3" t="s">
        <v>11</v>
      </c>
      <c r="I144" s="3" t="s">
        <v>12</v>
      </c>
    </row>
    <row r="145" spans="1:9" x14ac:dyDescent="0.35">
      <c r="A145" s="14">
        <v>45826</v>
      </c>
      <c r="B145" s="23" t="str">
        <f>TEXT('Brand New Mobile Details Data'!$A145,"MMM")</f>
        <v>Jun</v>
      </c>
      <c r="C145" s="23" t="str">
        <f>TEXT('Brand New Mobile Details Data'!$A145,"dddd")</f>
        <v>Wednesday</v>
      </c>
      <c r="D145" s="24" t="str">
        <f>TEXT('Brand New Mobile Details Data'!$A145,"yyyy")</f>
        <v>2025</v>
      </c>
      <c r="E145" s="8" t="s">
        <v>40</v>
      </c>
      <c r="F145" s="8" t="s">
        <v>14</v>
      </c>
      <c r="G145" s="9">
        <v>120</v>
      </c>
      <c r="H145" s="8" t="s">
        <v>7</v>
      </c>
      <c r="I145" s="8" t="s">
        <v>12</v>
      </c>
    </row>
    <row r="146" spans="1:9" x14ac:dyDescent="0.35">
      <c r="A146" s="12">
        <v>45828</v>
      </c>
      <c r="B146" s="21" t="str">
        <f>TEXT('Brand New Mobile Details Data'!$A146,"MMM")</f>
        <v>Jun</v>
      </c>
      <c r="C146" s="21" t="str">
        <f>TEXT('Brand New Mobile Details Data'!$A146,"dddd")</f>
        <v>Friday</v>
      </c>
      <c r="D146" s="22" t="str">
        <f>TEXT('Brand New Mobile Details Data'!$A146,"yyyy")</f>
        <v>2025</v>
      </c>
      <c r="E146" s="3" t="s">
        <v>29</v>
      </c>
      <c r="F146" s="3" t="s">
        <v>18</v>
      </c>
      <c r="G146" s="7">
        <v>70</v>
      </c>
      <c r="H146" s="3" t="s">
        <v>11</v>
      </c>
      <c r="I146" s="3" t="s">
        <v>16</v>
      </c>
    </row>
    <row r="147" spans="1:9" x14ac:dyDescent="0.35">
      <c r="A147" s="12">
        <v>45832</v>
      </c>
      <c r="B147" s="21" t="str">
        <f>TEXT('Brand New Mobile Details Data'!$A147,"MMM")</f>
        <v>Jun</v>
      </c>
      <c r="C147" s="21" t="str">
        <f>TEXT('Brand New Mobile Details Data'!$A147,"dddd")</f>
        <v>Tuesday</v>
      </c>
      <c r="D147" s="22" t="str">
        <f>TEXT('Brand New Mobile Details Data'!$A147,"yyyy")</f>
        <v>2025</v>
      </c>
      <c r="E147" s="3" t="s">
        <v>40</v>
      </c>
      <c r="F147" s="3" t="s">
        <v>28</v>
      </c>
      <c r="G147" s="7">
        <v>80</v>
      </c>
      <c r="H147" s="3" t="s">
        <v>19</v>
      </c>
      <c r="I147" s="3" t="s">
        <v>16</v>
      </c>
    </row>
    <row r="148" spans="1:9" x14ac:dyDescent="0.35">
      <c r="A148" s="14">
        <v>45833</v>
      </c>
      <c r="B148" s="23" t="str">
        <f>TEXT('Brand New Mobile Details Data'!$A148,"MMM")</f>
        <v>Jun</v>
      </c>
      <c r="C148" s="23" t="str">
        <f>TEXT('Brand New Mobile Details Data'!$A148,"dddd")</f>
        <v>Wednesday</v>
      </c>
      <c r="D148" s="24" t="str">
        <f>TEXT('Brand New Mobile Details Data'!$A148,"yyyy")</f>
        <v>2025</v>
      </c>
      <c r="E148" s="8" t="s">
        <v>60</v>
      </c>
      <c r="F148" s="8" t="s">
        <v>6</v>
      </c>
      <c r="G148" s="9">
        <v>150</v>
      </c>
      <c r="H148" s="8" t="s">
        <v>7</v>
      </c>
      <c r="I148" s="8" t="s">
        <v>8</v>
      </c>
    </row>
    <row r="149" spans="1:9" x14ac:dyDescent="0.35">
      <c r="A149" s="14">
        <v>45833</v>
      </c>
      <c r="B149" s="23" t="str">
        <f>TEXT('Brand New Mobile Details Data'!$A149,"MMM")</f>
        <v>Jun</v>
      </c>
      <c r="C149" s="23" t="str">
        <f>TEXT('Brand New Mobile Details Data'!$A149,"dddd")</f>
        <v>Wednesday</v>
      </c>
      <c r="D149" s="24" t="str">
        <f>TEXT('Brand New Mobile Details Data'!$A149,"yyyy")</f>
        <v>2025</v>
      </c>
      <c r="E149" s="8" t="s">
        <v>61</v>
      </c>
      <c r="F149" s="8" t="s">
        <v>10</v>
      </c>
      <c r="G149" s="9">
        <v>60</v>
      </c>
      <c r="H149" s="8" t="s">
        <v>7</v>
      </c>
      <c r="I149" s="8" t="s">
        <v>8</v>
      </c>
    </row>
    <row r="150" spans="1:9" x14ac:dyDescent="0.35">
      <c r="A150" s="12">
        <v>45833</v>
      </c>
      <c r="B150" s="21" t="str">
        <f>TEXT('Brand New Mobile Details Data'!$A150,"MMM")</f>
        <v>Jun</v>
      </c>
      <c r="C150" s="21" t="str">
        <f>TEXT('Brand New Mobile Details Data'!$A150,"dddd")</f>
        <v>Wednesday</v>
      </c>
      <c r="D150" s="22" t="str">
        <f>TEXT('Brand New Mobile Details Data'!$A150,"yyyy")</f>
        <v>2025</v>
      </c>
      <c r="E150" s="3" t="s">
        <v>64</v>
      </c>
      <c r="F150" s="3" t="s">
        <v>18</v>
      </c>
      <c r="G150" s="7">
        <v>70</v>
      </c>
      <c r="H150" s="3" t="s">
        <v>21</v>
      </c>
      <c r="I150" s="3" t="s">
        <v>16</v>
      </c>
    </row>
    <row r="151" spans="1:9" x14ac:dyDescent="0.35">
      <c r="A151" s="14">
        <v>45833</v>
      </c>
      <c r="B151" s="23" t="str">
        <f>TEXT('Brand New Mobile Details Data'!$A151,"MMM")</f>
        <v>Jun</v>
      </c>
      <c r="C151" s="23" t="str">
        <f>TEXT('Brand New Mobile Details Data'!$A151,"dddd")</f>
        <v>Wednesday</v>
      </c>
      <c r="D151" s="24" t="str">
        <f>TEXT('Brand New Mobile Details Data'!$A151,"yyyy")</f>
        <v>2025</v>
      </c>
      <c r="E151" s="8" t="s">
        <v>26</v>
      </c>
      <c r="F151" s="8" t="s">
        <v>14</v>
      </c>
      <c r="G151" s="9">
        <v>120</v>
      </c>
      <c r="H151" s="8" t="s">
        <v>15</v>
      </c>
      <c r="I151" s="8" t="s">
        <v>8</v>
      </c>
    </row>
    <row r="152" spans="1:9" x14ac:dyDescent="0.35">
      <c r="A152" s="14">
        <v>45836</v>
      </c>
      <c r="B152" s="23" t="str">
        <f>TEXT('Brand New Mobile Details Data'!$A152,"MMM")</f>
        <v>Jun</v>
      </c>
      <c r="C152" s="23" t="str">
        <f>TEXT('Brand New Mobile Details Data'!$A152,"dddd")</f>
        <v>Saturday</v>
      </c>
      <c r="D152" s="24" t="str">
        <f>TEXT('Brand New Mobile Details Data'!$A152,"yyyy")</f>
        <v>2025</v>
      </c>
      <c r="E152" s="8" t="s">
        <v>51</v>
      </c>
      <c r="F152" s="8" t="s">
        <v>6</v>
      </c>
      <c r="G152" s="9">
        <v>150</v>
      </c>
      <c r="H152" s="8" t="s">
        <v>15</v>
      </c>
      <c r="I152" s="8" t="s">
        <v>8</v>
      </c>
    </row>
    <row r="153" spans="1:9" x14ac:dyDescent="0.35">
      <c r="A153" s="14">
        <v>45837</v>
      </c>
      <c r="B153" s="23" t="str">
        <f>TEXT('Brand New Mobile Details Data'!$A153,"MMM")</f>
        <v>Jun</v>
      </c>
      <c r="C153" s="23" t="str">
        <f>TEXT('Brand New Mobile Details Data'!$A153,"dddd")</f>
        <v>Sunday</v>
      </c>
      <c r="D153" s="24" t="str">
        <f>TEXT('Brand New Mobile Details Data'!$A153,"yyyy")</f>
        <v>2025</v>
      </c>
      <c r="E153" s="8" t="s">
        <v>40</v>
      </c>
      <c r="F153" s="8" t="s">
        <v>6</v>
      </c>
      <c r="G153" s="9">
        <v>150</v>
      </c>
      <c r="H153" s="8" t="s">
        <v>21</v>
      </c>
      <c r="I153" s="8" t="s">
        <v>8</v>
      </c>
    </row>
    <row r="154" spans="1:9" x14ac:dyDescent="0.35">
      <c r="A154" s="14">
        <v>45837</v>
      </c>
      <c r="B154" s="23" t="str">
        <f>TEXT('Brand New Mobile Details Data'!$A154,"MMM")</f>
        <v>Jun</v>
      </c>
      <c r="C154" s="23" t="str">
        <f>TEXT('Brand New Mobile Details Data'!$A154,"dddd")</f>
        <v>Sunday</v>
      </c>
      <c r="D154" s="24" t="str">
        <f>TEXT('Brand New Mobile Details Data'!$A154,"yyyy")</f>
        <v>2025</v>
      </c>
      <c r="E154" s="8" t="s">
        <v>57</v>
      </c>
      <c r="F154" s="8" t="s">
        <v>6</v>
      </c>
      <c r="G154" s="9">
        <v>150</v>
      </c>
      <c r="H154" s="8" t="s">
        <v>19</v>
      </c>
      <c r="I154" s="8" t="s">
        <v>16</v>
      </c>
    </row>
    <row r="155" spans="1:9" x14ac:dyDescent="0.35">
      <c r="A155" s="12">
        <v>45838</v>
      </c>
      <c r="B155" s="21" t="str">
        <f>TEXT('Brand New Mobile Details Data'!$A155,"MMM")</f>
        <v>Jun</v>
      </c>
      <c r="C155" s="21" t="str">
        <f>TEXT('Brand New Mobile Details Data'!$A155,"dddd")</f>
        <v>Monday</v>
      </c>
      <c r="D155" s="22" t="str">
        <f>TEXT('Brand New Mobile Details Data'!$A155,"yyyy")</f>
        <v>2025</v>
      </c>
      <c r="E155" s="3" t="s">
        <v>40</v>
      </c>
      <c r="F155" s="3" t="s">
        <v>14</v>
      </c>
      <c r="G155" s="7">
        <v>120</v>
      </c>
      <c r="H155" s="3" t="s">
        <v>11</v>
      </c>
      <c r="I155" s="3" t="s">
        <v>16</v>
      </c>
    </row>
    <row r="156" spans="1:9" x14ac:dyDescent="0.35">
      <c r="A156" s="12">
        <v>45838</v>
      </c>
      <c r="B156" s="21" t="str">
        <f>TEXT('Brand New Mobile Details Data'!$A156,"MMM")</f>
        <v>Jun</v>
      </c>
      <c r="C156" s="21" t="str">
        <f>TEXT('Brand New Mobile Details Data'!$A156,"dddd")</f>
        <v>Monday</v>
      </c>
      <c r="D156" s="22" t="str">
        <f>TEXT('Brand New Mobile Details Data'!$A156,"yyyy")</f>
        <v>2025</v>
      </c>
      <c r="E156" s="3" t="s">
        <v>37</v>
      </c>
      <c r="F156" s="3" t="s">
        <v>14</v>
      </c>
      <c r="G156" s="7">
        <v>120</v>
      </c>
      <c r="H156" s="3" t="s">
        <v>19</v>
      </c>
      <c r="I156" s="3" t="s">
        <v>12</v>
      </c>
    </row>
    <row r="157" spans="1:9" x14ac:dyDescent="0.35">
      <c r="A157" s="12">
        <v>45839</v>
      </c>
      <c r="B157" s="21" t="str">
        <f>TEXT('Brand New Mobile Details Data'!$A157,"MMM")</f>
        <v>Jul</v>
      </c>
      <c r="C157" s="21" t="str">
        <f>TEXT('Brand New Mobile Details Data'!$A157,"dddd")</f>
        <v>Tuesday</v>
      </c>
      <c r="D157" s="22" t="str">
        <f>TEXT('Brand New Mobile Details Data'!$A157,"yyyy")</f>
        <v>2025</v>
      </c>
      <c r="E157" s="3" t="s">
        <v>42</v>
      </c>
      <c r="F157" s="3" t="s">
        <v>10</v>
      </c>
      <c r="G157" s="7">
        <v>60</v>
      </c>
      <c r="H157" s="3" t="s">
        <v>11</v>
      </c>
      <c r="I157" s="3" t="s">
        <v>12</v>
      </c>
    </row>
    <row r="158" spans="1:9" x14ac:dyDescent="0.35">
      <c r="A158" s="14">
        <v>45839</v>
      </c>
      <c r="B158" s="23" t="str">
        <f>TEXT('Brand New Mobile Details Data'!$A158,"MMM")</f>
        <v>Jul</v>
      </c>
      <c r="C158" s="23" t="str">
        <f>TEXT('Brand New Mobile Details Data'!$A158,"dddd")</f>
        <v>Tuesday</v>
      </c>
      <c r="D158" s="24" t="str">
        <f>TEXT('Brand New Mobile Details Data'!$A158,"yyyy")</f>
        <v>2025</v>
      </c>
      <c r="E158" s="8" t="s">
        <v>24</v>
      </c>
      <c r="F158" s="8" t="s">
        <v>14</v>
      </c>
      <c r="G158" s="9">
        <v>120</v>
      </c>
      <c r="H158" s="8" t="s">
        <v>7</v>
      </c>
      <c r="I158" s="8" t="s">
        <v>16</v>
      </c>
    </row>
    <row r="159" spans="1:9" x14ac:dyDescent="0.35">
      <c r="A159" s="14">
        <v>45840</v>
      </c>
      <c r="B159" s="23" t="str">
        <f>TEXT('Brand New Mobile Details Data'!$A159,"MMM")</f>
        <v>Jul</v>
      </c>
      <c r="C159" s="23" t="str">
        <f>TEXT('Brand New Mobile Details Data'!$A159,"dddd")</f>
        <v>Wednesday</v>
      </c>
      <c r="D159" s="24" t="str">
        <f>TEXT('Brand New Mobile Details Data'!$A159,"yyyy")</f>
        <v>2025</v>
      </c>
      <c r="E159" s="8" t="s">
        <v>40</v>
      </c>
      <c r="F159" s="8" t="s">
        <v>6</v>
      </c>
      <c r="G159" s="9">
        <v>150</v>
      </c>
      <c r="H159" s="8" t="s">
        <v>7</v>
      </c>
      <c r="I159" s="8" t="s">
        <v>16</v>
      </c>
    </row>
    <row r="160" spans="1:9" x14ac:dyDescent="0.35">
      <c r="A160" s="12">
        <v>45841</v>
      </c>
      <c r="B160" s="21" t="str">
        <f>TEXT('Brand New Mobile Details Data'!$A160,"MMM")</f>
        <v>Jul</v>
      </c>
      <c r="C160" s="21" t="str">
        <f>TEXT('Brand New Mobile Details Data'!$A160,"dddd")</f>
        <v>Thursday</v>
      </c>
      <c r="D160" s="22" t="str">
        <f>TEXT('Brand New Mobile Details Data'!$A160,"yyyy")</f>
        <v>2025</v>
      </c>
      <c r="E160" s="3" t="s">
        <v>40</v>
      </c>
      <c r="F160" s="3" t="s">
        <v>10</v>
      </c>
      <c r="G160" s="7">
        <v>60</v>
      </c>
      <c r="H160" s="3" t="s">
        <v>7</v>
      </c>
      <c r="I160" s="3" t="s">
        <v>16</v>
      </c>
    </row>
    <row r="161" spans="1:9" x14ac:dyDescent="0.35">
      <c r="A161" s="12">
        <v>45841</v>
      </c>
      <c r="B161" s="21" t="str">
        <f>TEXT('Brand New Mobile Details Data'!$A161,"MMM")</f>
        <v>Jul</v>
      </c>
      <c r="C161" s="21" t="str">
        <f>TEXT('Brand New Mobile Details Data'!$A161,"dddd")</f>
        <v>Thursday</v>
      </c>
      <c r="D161" s="22" t="str">
        <f>TEXT('Brand New Mobile Details Data'!$A161,"yyyy")</f>
        <v>2025</v>
      </c>
      <c r="E161" s="3" t="s">
        <v>58</v>
      </c>
      <c r="F161" s="3" t="s">
        <v>14</v>
      </c>
      <c r="G161" s="7">
        <v>120</v>
      </c>
      <c r="H161" s="3" t="s">
        <v>7</v>
      </c>
      <c r="I161" s="3" t="s">
        <v>8</v>
      </c>
    </row>
    <row r="162" spans="1:9" x14ac:dyDescent="0.35">
      <c r="A162" s="14">
        <v>45841</v>
      </c>
      <c r="B162" s="23" t="str">
        <f>TEXT('Brand New Mobile Details Data'!$A162,"MMM")</f>
        <v>Jul</v>
      </c>
      <c r="C162" s="23" t="str">
        <f>TEXT('Brand New Mobile Details Data'!$A162,"dddd")</f>
        <v>Thursday</v>
      </c>
      <c r="D162" s="24" t="str">
        <f>TEXT('Brand New Mobile Details Data'!$A162,"yyyy")</f>
        <v>2025</v>
      </c>
      <c r="E162" s="8" t="s">
        <v>20</v>
      </c>
      <c r="F162" s="8" t="s">
        <v>14</v>
      </c>
      <c r="G162" s="9">
        <v>120</v>
      </c>
      <c r="H162" s="8" t="s">
        <v>15</v>
      </c>
      <c r="I162" s="8" t="s">
        <v>16</v>
      </c>
    </row>
    <row r="163" spans="1:9" x14ac:dyDescent="0.35">
      <c r="A163" s="14">
        <v>45844</v>
      </c>
      <c r="B163" s="23" t="str">
        <f>TEXT('Brand New Mobile Details Data'!$A163,"MMM")</f>
        <v>Jul</v>
      </c>
      <c r="C163" s="23" t="str">
        <f>TEXT('Brand New Mobile Details Data'!$A163,"dddd")</f>
        <v>Sunday</v>
      </c>
      <c r="D163" s="24" t="str">
        <f>TEXT('Brand New Mobile Details Data'!$A163,"yyyy")</f>
        <v>2025</v>
      </c>
      <c r="E163" s="8" t="s">
        <v>64</v>
      </c>
      <c r="F163" s="8" t="s">
        <v>18</v>
      </c>
      <c r="G163" s="9">
        <v>70</v>
      </c>
      <c r="H163" s="8" t="s">
        <v>21</v>
      </c>
      <c r="I163" s="8" t="s">
        <v>16</v>
      </c>
    </row>
    <row r="164" spans="1:9" x14ac:dyDescent="0.35">
      <c r="A164" s="12">
        <v>45845</v>
      </c>
      <c r="B164" s="21" t="str">
        <f>TEXT('Brand New Mobile Details Data'!$A164,"MMM")</f>
        <v>Jul</v>
      </c>
      <c r="C164" s="21" t="str">
        <f>TEXT('Brand New Mobile Details Data'!$A164,"dddd")</f>
        <v>Monday</v>
      </c>
      <c r="D164" s="22" t="str">
        <f>TEXT('Brand New Mobile Details Data'!$A164,"yyyy")</f>
        <v>2025</v>
      </c>
      <c r="E164" s="3" t="s">
        <v>32</v>
      </c>
      <c r="F164" s="3" t="s">
        <v>18</v>
      </c>
      <c r="G164" s="7">
        <v>70</v>
      </c>
      <c r="H164" s="3" t="s">
        <v>15</v>
      </c>
      <c r="I164" s="3" t="s">
        <v>12</v>
      </c>
    </row>
    <row r="165" spans="1:9" x14ac:dyDescent="0.35">
      <c r="A165" s="12">
        <v>45845</v>
      </c>
      <c r="B165" s="21" t="str">
        <f>TEXT('Brand New Mobile Details Data'!$A165,"MMM")</f>
        <v>Jul</v>
      </c>
      <c r="C165" s="21" t="str">
        <f>TEXT('Brand New Mobile Details Data'!$A165,"dddd")</f>
        <v>Monday</v>
      </c>
      <c r="D165" s="22" t="str">
        <f>TEXT('Brand New Mobile Details Data'!$A165,"yyyy")</f>
        <v>2025</v>
      </c>
      <c r="E165" s="3" t="s">
        <v>48</v>
      </c>
      <c r="F165" s="3" t="s">
        <v>10</v>
      </c>
      <c r="G165" s="7">
        <v>60</v>
      </c>
      <c r="H165" s="3" t="s">
        <v>19</v>
      </c>
      <c r="I165" s="3" t="s">
        <v>12</v>
      </c>
    </row>
    <row r="166" spans="1:9" x14ac:dyDescent="0.35">
      <c r="A166" s="14">
        <v>45846</v>
      </c>
      <c r="B166" s="23" t="str">
        <f>TEXT('Brand New Mobile Details Data'!$A166,"MMM")</f>
        <v>Jul</v>
      </c>
      <c r="C166" s="23" t="str">
        <f>TEXT('Brand New Mobile Details Data'!$A166,"dddd")</f>
        <v>Tuesday</v>
      </c>
      <c r="D166" s="24" t="str">
        <f>TEXT('Brand New Mobile Details Data'!$A166,"yyyy")</f>
        <v>2025</v>
      </c>
      <c r="E166" s="8" t="s">
        <v>45</v>
      </c>
      <c r="F166" s="8" t="s">
        <v>28</v>
      </c>
      <c r="G166" s="9">
        <v>80</v>
      </c>
      <c r="H166" s="8" t="s">
        <v>21</v>
      </c>
      <c r="I166" s="8" t="s">
        <v>16</v>
      </c>
    </row>
    <row r="167" spans="1:9" x14ac:dyDescent="0.35">
      <c r="A167" s="14">
        <v>45847</v>
      </c>
      <c r="B167" s="23" t="str">
        <f>TEXT('Brand New Mobile Details Data'!$A167,"MMM")</f>
        <v>Jul</v>
      </c>
      <c r="C167" s="23" t="str">
        <f>TEXT('Brand New Mobile Details Data'!$A167,"dddd")</f>
        <v>Wednesday</v>
      </c>
      <c r="D167" s="24" t="str">
        <f>TEXT('Brand New Mobile Details Data'!$A167,"yyyy")</f>
        <v>2025</v>
      </c>
      <c r="E167" s="8" t="s">
        <v>59</v>
      </c>
      <c r="F167" s="8" t="s">
        <v>10</v>
      </c>
      <c r="G167" s="9">
        <v>60</v>
      </c>
      <c r="H167" s="8" t="s">
        <v>21</v>
      </c>
      <c r="I167" s="8" t="s">
        <v>12</v>
      </c>
    </row>
    <row r="168" spans="1:9" x14ac:dyDescent="0.35">
      <c r="A168" s="12">
        <v>45847</v>
      </c>
      <c r="B168" s="21" t="str">
        <f>TEXT('Brand New Mobile Details Data'!$A168,"MMM")</f>
        <v>Jul</v>
      </c>
      <c r="C168" s="21" t="str">
        <f>TEXT('Brand New Mobile Details Data'!$A168,"dddd")</f>
        <v>Wednesday</v>
      </c>
      <c r="D168" s="22" t="str">
        <f>TEXT('Brand New Mobile Details Data'!$A168,"yyyy")</f>
        <v>2025</v>
      </c>
      <c r="E168" s="3" t="s">
        <v>45</v>
      </c>
      <c r="F168" s="3" t="s">
        <v>28</v>
      </c>
      <c r="G168" s="7">
        <v>80</v>
      </c>
      <c r="H168" s="3" t="s">
        <v>21</v>
      </c>
      <c r="I168" s="3" t="s">
        <v>8</v>
      </c>
    </row>
    <row r="169" spans="1:9" x14ac:dyDescent="0.35">
      <c r="A169" s="12">
        <v>45848</v>
      </c>
      <c r="B169" s="21" t="str">
        <f>TEXT('Brand New Mobile Details Data'!$A169,"MMM")</f>
        <v>Jul</v>
      </c>
      <c r="C169" s="21" t="str">
        <f>TEXT('Brand New Mobile Details Data'!$A169,"dddd")</f>
        <v>Thursday</v>
      </c>
      <c r="D169" s="22" t="str">
        <f>TEXT('Brand New Mobile Details Data'!$A169,"yyyy")</f>
        <v>2025</v>
      </c>
      <c r="E169" s="3" t="s">
        <v>32</v>
      </c>
      <c r="F169" s="3" t="s">
        <v>6</v>
      </c>
      <c r="G169" s="7">
        <v>150</v>
      </c>
      <c r="H169" s="3" t="s">
        <v>21</v>
      </c>
      <c r="I169" s="3" t="s">
        <v>16</v>
      </c>
    </row>
    <row r="170" spans="1:9" x14ac:dyDescent="0.35">
      <c r="A170" s="12">
        <v>45848</v>
      </c>
      <c r="B170" s="21" t="str">
        <f>TEXT('Brand New Mobile Details Data'!$A170,"MMM")</f>
        <v>Jul</v>
      </c>
      <c r="C170" s="21" t="str">
        <f>TEXT('Brand New Mobile Details Data'!$A170,"dddd")</f>
        <v>Thursday</v>
      </c>
      <c r="D170" s="22" t="str">
        <f>TEXT('Brand New Mobile Details Data'!$A170,"yyyy")</f>
        <v>2025</v>
      </c>
      <c r="E170" s="3" t="s">
        <v>31</v>
      </c>
      <c r="F170" s="3" t="s">
        <v>10</v>
      </c>
      <c r="G170" s="7">
        <v>60</v>
      </c>
      <c r="H170" s="3" t="s">
        <v>11</v>
      </c>
      <c r="I170" s="3" t="s">
        <v>12</v>
      </c>
    </row>
    <row r="171" spans="1:9" x14ac:dyDescent="0.35">
      <c r="A171" s="12">
        <v>45848</v>
      </c>
      <c r="B171" s="21" t="str">
        <f>TEXT('Brand New Mobile Details Data'!$A171,"MMM")</f>
        <v>Jul</v>
      </c>
      <c r="C171" s="21" t="str">
        <f>TEXT('Brand New Mobile Details Data'!$A171,"dddd")</f>
        <v>Thursday</v>
      </c>
      <c r="D171" s="22" t="str">
        <f>TEXT('Brand New Mobile Details Data'!$A171,"yyyy")</f>
        <v>2025</v>
      </c>
      <c r="E171" s="3" t="s">
        <v>29</v>
      </c>
      <c r="F171" s="3" t="s">
        <v>10</v>
      </c>
      <c r="G171" s="7">
        <v>60</v>
      </c>
      <c r="H171" s="3" t="s">
        <v>15</v>
      </c>
      <c r="I171" s="3" t="s">
        <v>8</v>
      </c>
    </row>
    <row r="172" spans="1:9" x14ac:dyDescent="0.35">
      <c r="A172" s="12">
        <v>45848</v>
      </c>
      <c r="B172" s="21" t="str">
        <f>TEXT('Brand New Mobile Details Data'!$A172,"MMM")</f>
        <v>Jul</v>
      </c>
      <c r="C172" s="21" t="str">
        <f>TEXT('Brand New Mobile Details Data'!$A172,"dddd")</f>
        <v>Thursday</v>
      </c>
      <c r="D172" s="22" t="str">
        <f>TEXT('Brand New Mobile Details Data'!$A172,"yyyy")</f>
        <v>2025</v>
      </c>
      <c r="E172" s="3" t="s">
        <v>43</v>
      </c>
      <c r="F172" s="3" t="s">
        <v>6</v>
      </c>
      <c r="G172" s="7">
        <v>150</v>
      </c>
      <c r="H172" s="3" t="s">
        <v>21</v>
      </c>
      <c r="I172" s="3" t="s">
        <v>12</v>
      </c>
    </row>
    <row r="173" spans="1:9" x14ac:dyDescent="0.35">
      <c r="A173" s="14">
        <v>45849</v>
      </c>
      <c r="B173" s="23" t="str">
        <f>TEXT('Brand New Mobile Details Data'!$A173,"MMM")</f>
        <v>Jul</v>
      </c>
      <c r="C173" s="23" t="str">
        <f>TEXT('Brand New Mobile Details Data'!$A173,"dddd")</f>
        <v>Friday</v>
      </c>
      <c r="D173" s="24" t="str">
        <f>TEXT('Brand New Mobile Details Data'!$A173,"yyyy")</f>
        <v>2025</v>
      </c>
      <c r="E173" s="8" t="s">
        <v>29</v>
      </c>
      <c r="F173" s="8" t="s">
        <v>10</v>
      </c>
      <c r="G173" s="9">
        <v>60</v>
      </c>
      <c r="H173" s="8" t="s">
        <v>11</v>
      </c>
      <c r="I173" s="8" t="s">
        <v>16</v>
      </c>
    </row>
    <row r="174" spans="1:9" x14ac:dyDescent="0.35">
      <c r="A174" s="14">
        <v>45850</v>
      </c>
      <c r="B174" s="23" t="str">
        <f>TEXT('Brand New Mobile Details Data'!$A174,"MMM")</f>
        <v>Jul</v>
      </c>
      <c r="C174" s="23" t="str">
        <f>TEXT('Brand New Mobile Details Data'!$A174,"dddd")</f>
        <v>Saturday</v>
      </c>
      <c r="D174" s="24" t="str">
        <f>TEXT('Brand New Mobile Details Data'!$A174,"yyyy")</f>
        <v>2025</v>
      </c>
      <c r="E174" s="8" t="s">
        <v>17</v>
      </c>
      <c r="F174" s="8" t="s">
        <v>18</v>
      </c>
      <c r="G174" s="9">
        <v>70</v>
      </c>
      <c r="H174" s="8" t="s">
        <v>15</v>
      </c>
      <c r="I174" s="8" t="s">
        <v>8</v>
      </c>
    </row>
    <row r="175" spans="1:9" x14ac:dyDescent="0.35">
      <c r="A175" s="14">
        <v>45850</v>
      </c>
      <c r="B175" s="23" t="str">
        <f>TEXT('Brand New Mobile Details Data'!$A175,"MMM")</f>
        <v>Jul</v>
      </c>
      <c r="C175" s="23" t="str">
        <f>TEXT('Brand New Mobile Details Data'!$A175,"dddd")</f>
        <v>Saturday</v>
      </c>
      <c r="D175" s="24" t="str">
        <f>TEXT('Brand New Mobile Details Data'!$A175,"yyyy")</f>
        <v>2025</v>
      </c>
      <c r="E175" s="8" t="s">
        <v>41</v>
      </c>
      <c r="F175" s="8" t="s">
        <v>28</v>
      </c>
      <c r="G175" s="9">
        <v>80</v>
      </c>
      <c r="H175" s="8" t="s">
        <v>19</v>
      </c>
      <c r="I175" s="8" t="s">
        <v>8</v>
      </c>
    </row>
    <row r="176" spans="1:9" x14ac:dyDescent="0.35">
      <c r="A176" s="12">
        <v>45851</v>
      </c>
      <c r="B176" s="21" t="str">
        <f>TEXT('Brand New Mobile Details Data'!$A176,"MMM")</f>
        <v>Jul</v>
      </c>
      <c r="C176" s="21" t="str">
        <f>TEXT('Brand New Mobile Details Data'!$A176,"dddd")</f>
        <v>Sunday</v>
      </c>
      <c r="D176" s="22" t="str">
        <f>TEXT('Brand New Mobile Details Data'!$A176,"yyyy")</f>
        <v>2025</v>
      </c>
      <c r="E176" s="3" t="s">
        <v>41</v>
      </c>
      <c r="F176" s="3" t="s">
        <v>10</v>
      </c>
      <c r="G176" s="7">
        <v>60</v>
      </c>
      <c r="H176" s="3" t="s">
        <v>15</v>
      </c>
      <c r="I176" s="3" t="s">
        <v>12</v>
      </c>
    </row>
    <row r="177" spans="1:9" x14ac:dyDescent="0.35">
      <c r="A177" s="12">
        <v>45851</v>
      </c>
      <c r="B177" s="21" t="str">
        <f>TEXT('Brand New Mobile Details Data'!$A177,"MMM")</f>
        <v>Jul</v>
      </c>
      <c r="C177" s="21" t="str">
        <f>TEXT('Brand New Mobile Details Data'!$A177,"dddd")</f>
        <v>Sunday</v>
      </c>
      <c r="D177" s="22" t="str">
        <f>TEXT('Brand New Mobile Details Data'!$A177,"yyyy")</f>
        <v>2025</v>
      </c>
      <c r="E177" s="3" t="s">
        <v>43</v>
      </c>
      <c r="F177" s="3" t="s">
        <v>6</v>
      </c>
      <c r="G177" s="7">
        <v>150</v>
      </c>
      <c r="H177" s="3" t="s">
        <v>11</v>
      </c>
      <c r="I177" s="3" t="s">
        <v>12</v>
      </c>
    </row>
    <row r="178" spans="1:9" x14ac:dyDescent="0.35">
      <c r="A178" s="12">
        <v>45853</v>
      </c>
      <c r="B178" s="21" t="str">
        <f>TEXT('Brand New Mobile Details Data'!$A178,"MMM")</f>
        <v>Jul</v>
      </c>
      <c r="C178" s="21" t="str">
        <f>TEXT('Brand New Mobile Details Data'!$A178,"dddd")</f>
        <v>Tuesday</v>
      </c>
      <c r="D178" s="22" t="str">
        <f>TEXT('Brand New Mobile Details Data'!$A178,"yyyy")</f>
        <v>2025</v>
      </c>
      <c r="E178" s="3" t="s">
        <v>45</v>
      </c>
      <c r="F178" s="3" t="s">
        <v>18</v>
      </c>
      <c r="G178" s="7">
        <v>70</v>
      </c>
      <c r="H178" s="3" t="s">
        <v>21</v>
      </c>
      <c r="I178" s="3" t="s">
        <v>16</v>
      </c>
    </row>
    <row r="179" spans="1:9" x14ac:dyDescent="0.35">
      <c r="A179" s="14">
        <v>45854</v>
      </c>
      <c r="B179" s="23" t="str">
        <f>TEXT('Brand New Mobile Details Data'!$A179,"MMM")</f>
        <v>Jul</v>
      </c>
      <c r="C179" s="23" t="str">
        <f>TEXT('Brand New Mobile Details Data'!$A179,"dddd")</f>
        <v>Wednesday</v>
      </c>
      <c r="D179" s="24" t="str">
        <f>TEXT('Brand New Mobile Details Data'!$A179,"yyyy")</f>
        <v>2025</v>
      </c>
      <c r="E179" s="8" t="s">
        <v>46</v>
      </c>
      <c r="F179" s="8" t="s">
        <v>10</v>
      </c>
      <c r="G179" s="9">
        <v>60</v>
      </c>
      <c r="H179" s="8" t="s">
        <v>21</v>
      </c>
      <c r="I179" s="8" t="s">
        <v>12</v>
      </c>
    </row>
    <row r="180" spans="1:9" x14ac:dyDescent="0.35">
      <c r="A180" s="12">
        <v>45854</v>
      </c>
      <c r="B180" s="21" t="str">
        <f>TEXT('Brand New Mobile Details Data'!$A180,"MMM")</f>
        <v>Jul</v>
      </c>
      <c r="C180" s="21" t="str">
        <f>TEXT('Brand New Mobile Details Data'!$A180,"dddd")</f>
        <v>Wednesday</v>
      </c>
      <c r="D180" s="22" t="str">
        <f>TEXT('Brand New Mobile Details Data'!$A180,"yyyy")</f>
        <v>2025</v>
      </c>
      <c r="E180" s="3" t="s">
        <v>56</v>
      </c>
      <c r="F180" s="3" t="s">
        <v>14</v>
      </c>
      <c r="G180" s="7">
        <v>120</v>
      </c>
      <c r="H180" s="3" t="s">
        <v>19</v>
      </c>
      <c r="I180" s="3" t="s">
        <v>12</v>
      </c>
    </row>
    <row r="181" spans="1:9" x14ac:dyDescent="0.35">
      <c r="A181" s="14">
        <v>45855</v>
      </c>
      <c r="B181" s="23" t="str">
        <f>TEXT('Brand New Mobile Details Data'!$A181,"MMM")</f>
        <v>Jul</v>
      </c>
      <c r="C181" s="23" t="str">
        <f>TEXT('Brand New Mobile Details Data'!$A181,"dddd")</f>
        <v>Thursday</v>
      </c>
      <c r="D181" s="24" t="str">
        <f>TEXT('Brand New Mobile Details Data'!$A181,"yyyy")</f>
        <v>2025</v>
      </c>
      <c r="E181" s="8" t="s">
        <v>58</v>
      </c>
      <c r="F181" s="8" t="s">
        <v>6</v>
      </c>
      <c r="G181" s="9">
        <v>150</v>
      </c>
      <c r="H181" s="8" t="s">
        <v>11</v>
      </c>
      <c r="I181" s="8" t="s">
        <v>16</v>
      </c>
    </row>
    <row r="182" spans="1:9" x14ac:dyDescent="0.35">
      <c r="A182" s="14">
        <v>45856</v>
      </c>
      <c r="B182" s="23" t="str">
        <f>TEXT('Brand New Mobile Details Data'!$A182,"MMM")</f>
        <v>Jul</v>
      </c>
      <c r="C182" s="23" t="str">
        <f>TEXT('Brand New Mobile Details Data'!$A182,"dddd")</f>
        <v>Friday</v>
      </c>
      <c r="D182" s="24" t="str">
        <f>TEXT('Brand New Mobile Details Data'!$A182,"yyyy")</f>
        <v>2025</v>
      </c>
      <c r="E182" s="8" t="s">
        <v>23</v>
      </c>
      <c r="F182" s="8" t="s">
        <v>14</v>
      </c>
      <c r="G182" s="9">
        <v>120</v>
      </c>
      <c r="H182" s="8" t="s">
        <v>7</v>
      </c>
      <c r="I182" s="8" t="s">
        <v>8</v>
      </c>
    </row>
    <row r="183" spans="1:9" x14ac:dyDescent="0.35">
      <c r="A183" s="12">
        <v>45861</v>
      </c>
      <c r="B183" s="21" t="str">
        <f>TEXT('Brand New Mobile Details Data'!$A183,"MMM")</f>
        <v>Jul</v>
      </c>
      <c r="C183" s="21" t="str">
        <f>TEXT('Brand New Mobile Details Data'!$A183,"dddd")</f>
        <v>Wednesday</v>
      </c>
      <c r="D183" s="22" t="str">
        <f>TEXT('Brand New Mobile Details Data'!$A183,"yyyy")</f>
        <v>2025</v>
      </c>
      <c r="E183" s="3" t="s">
        <v>61</v>
      </c>
      <c r="F183" s="3" t="s">
        <v>28</v>
      </c>
      <c r="G183" s="7">
        <v>80</v>
      </c>
      <c r="H183" s="3" t="s">
        <v>7</v>
      </c>
      <c r="I183" s="3" t="s">
        <v>16</v>
      </c>
    </row>
    <row r="184" spans="1:9" x14ac:dyDescent="0.35">
      <c r="A184" s="12">
        <v>45861</v>
      </c>
      <c r="B184" s="21" t="str">
        <f>TEXT('Brand New Mobile Details Data'!$A184,"MMM")</f>
        <v>Jul</v>
      </c>
      <c r="C184" s="21" t="str">
        <f>TEXT('Brand New Mobile Details Data'!$A184,"dddd")</f>
        <v>Wednesday</v>
      </c>
      <c r="D184" s="22" t="str">
        <f>TEXT('Brand New Mobile Details Data'!$A184,"yyyy")</f>
        <v>2025</v>
      </c>
      <c r="E184" s="3" t="s">
        <v>31</v>
      </c>
      <c r="F184" s="3" t="s">
        <v>14</v>
      </c>
      <c r="G184" s="7">
        <v>120</v>
      </c>
      <c r="H184" s="3" t="s">
        <v>19</v>
      </c>
      <c r="I184" s="3" t="s">
        <v>16</v>
      </c>
    </row>
    <row r="185" spans="1:9" x14ac:dyDescent="0.35">
      <c r="A185" s="14">
        <v>45861</v>
      </c>
      <c r="B185" s="23" t="str">
        <f>TEXT('Brand New Mobile Details Data'!$A185,"MMM")</f>
        <v>Jul</v>
      </c>
      <c r="C185" s="23" t="str">
        <f>TEXT('Brand New Mobile Details Data'!$A185,"dddd")</f>
        <v>Wednesday</v>
      </c>
      <c r="D185" s="24" t="str">
        <f>TEXT('Brand New Mobile Details Data'!$A185,"yyyy")</f>
        <v>2025</v>
      </c>
      <c r="E185" s="8" t="s">
        <v>43</v>
      </c>
      <c r="F185" s="8" t="s">
        <v>6</v>
      </c>
      <c r="G185" s="9">
        <v>150</v>
      </c>
      <c r="H185" s="8" t="s">
        <v>15</v>
      </c>
      <c r="I185" s="8" t="s">
        <v>16</v>
      </c>
    </row>
    <row r="186" spans="1:9" x14ac:dyDescent="0.35">
      <c r="A186" s="14">
        <v>45861</v>
      </c>
      <c r="B186" s="23" t="str">
        <f>TEXT('Brand New Mobile Details Data'!$A186,"MMM")</f>
        <v>Jul</v>
      </c>
      <c r="C186" s="23" t="str">
        <f>TEXT('Brand New Mobile Details Data'!$A186,"dddd")</f>
        <v>Wednesday</v>
      </c>
      <c r="D186" s="24" t="str">
        <f>TEXT('Brand New Mobile Details Data'!$A186,"yyyy")</f>
        <v>2025</v>
      </c>
      <c r="E186" s="8" t="s">
        <v>53</v>
      </c>
      <c r="F186" s="8" t="s">
        <v>18</v>
      </c>
      <c r="G186" s="9">
        <v>70</v>
      </c>
      <c r="H186" s="8" t="s">
        <v>11</v>
      </c>
      <c r="I186" s="8" t="s">
        <v>16</v>
      </c>
    </row>
    <row r="187" spans="1:9" x14ac:dyDescent="0.35">
      <c r="A187" s="12">
        <v>45861</v>
      </c>
      <c r="B187" s="21" t="str">
        <f>TEXT('Brand New Mobile Details Data'!$A187,"MMM")</f>
        <v>Jul</v>
      </c>
      <c r="C187" s="21" t="str">
        <f>TEXT('Brand New Mobile Details Data'!$A187,"dddd")</f>
        <v>Wednesday</v>
      </c>
      <c r="D187" s="22" t="str">
        <f>TEXT('Brand New Mobile Details Data'!$A187,"yyyy")</f>
        <v>2025</v>
      </c>
      <c r="E187" s="3" t="s">
        <v>64</v>
      </c>
      <c r="F187" s="3" t="s">
        <v>14</v>
      </c>
      <c r="G187" s="7">
        <v>120</v>
      </c>
      <c r="H187" s="3" t="s">
        <v>21</v>
      </c>
      <c r="I187" s="3" t="s">
        <v>8</v>
      </c>
    </row>
    <row r="188" spans="1:9" x14ac:dyDescent="0.35">
      <c r="A188" s="12">
        <v>45863</v>
      </c>
      <c r="B188" s="21" t="str">
        <f>TEXT('Brand New Mobile Details Data'!$A188,"MMM")</f>
        <v>Jul</v>
      </c>
      <c r="C188" s="21" t="str">
        <f>TEXT('Brand New Mobile Details Data'!$A188,"dddd")</f>
        <v>Friday</v>
      </c>
      <c r="D188" s="22" t="str">
        <f>TEXT('Brand New Mobile Details Data'!$A188,"yyyy")</f>
        <v>2025</v>
      </c>
      <c r="E188" s="3" t="s">
        <v>65</v>
      </c>
      <c r="F188" s="3" t="s">
        <v>14</v>
      </c>
      <c r="G188" s="7">
        <v>120</v>
      </c>
      <c r="H188" s="3" t="s">
        <v>11</v>
      </c>
      <c r="I188" s="3" t="s">
        <v>12</v>
      </c>
    </row>
    <row r="189" spans="1:9" x14ac:dyDescent="0.35">
      <c r="A189" s="12">
        <v>45864</v>
      </c>
      <c r="B189" s="21" t="str">
        <f>TEXT('Brand New Mobile Details Data'!$A189,"MMM")</f>
        <v>Jul</v>
      </c>
      <c r="C189" s="21" t="str">
        <f>TEXT('Brand New Mobile Details Data'!$A189,"dddd")</f>
        <v>Saturday</v>
      </c>
      <c r="D189" s="22" t="str">
        <f>TEXT('Brand New Mobile Details Data'!$A189,"yyyy")</f>
        <v>2025</v>
      </c>
      <c r="E189" s="3" t="s">
        <v>27</v>
      </c>
      <c r="F189" s="3" t="s">
        <v>10</v>
      </c>
      <c r="G189" s="7">
        <v>60</v>
      </c>
      <c r="H189" s="3" t="s">
        <v>19</v>
      </c>
      <c r="I189" s="3" t="s">
        <v>8</v>
      </c>
    </row>
    <row r="190" spans="1:9" x14ac:dyDescent="0.35">
      <c r="A190" s="14">
        <v>45864</v>
      </c>
      <c r="B190" s="23" t="str">
        <f>TEXT('Brand New Mobile Details Data'!$A190,"MMM")</f>
        <v>Jul</v>
      </c>
      <c r="C190" s="23" t="str">
        <f>TEXT('Brand New Mobile Details Data'!$A190,"dddd")</f>
        <v>Saturday</v>
      </c>
      <c r="D190" s="24" t="str">
        <f>TEXT('Brand New Mobile Details Data'!$A190,"yyyy")</f>
        <v>2025</v>
      </c>
      <c r="E190" s="8" t="s">
        <v>32</v>
      </c>
      <c r="F190" s="8" t="s">
        <v>14</v>
      </c>
      <c r="G190" s="9">
        <v>120</v>
      </c>
      <c r="H190" s="8" t="s">
        <v>15</v>
      </c>
      <c r="I190" s="8" t="s">
        <v>16</v>
      </c>
    </row>
    <row r="191" spans="1:9" x14ac:dyDescent="0.35">
      <c r="A191" s="14">
        <v>45864</v>
      </c>
      <c r="B191" s="23" t="str">
        <f>TEXT('Brand New Mobile Details Data'!$A191,"MMM")</f>
        <v>Jul</v>
      </c>
      <c r="C191" s="23" t="str">
        <f>TEXT('Brand New Mobile Details Data'!$A191,"dddd")</f>
        <v>Saturday</v>
      </c>
      <c r="D191" s="24" t="str">
        <f>TEXT('Brand New Mobile Details Data'!$A191,"yyyy")</f>
        <v>2025</v>
      </c>
      <c r="E191" s="8" t="s">
        <v>48</v>
      </c>
      <c r="F191" s="8" t="s">
        <v>14</v>
      </c>
      <c r="G191" s="9">
        <v>120</v>
      </c>
      <c r="H191" s="8" t="s">
        <v>21</v>
      </c>
      <c r="I191" s="8" t="s">
        <v>8</v>
      </c>
    </row>
    <row r="192" spans="1:9" x14ac:dyDescent="0.35">
      <c r="A192" s="14">
        <v>45865</v>
      </c>
      <c r="B192" s="23" t="str">
        <f>TEXT('Brand New Mobile Details Data'!$A192,"MMM")</f>
        <v>Jul</v>
      </c>
      <c r="C192" s="23" t="str">
        <f>TEXT('Brand New Mobile Details Data'!$A192,"dddd")</f>
        <v>Sunday</v>
      </c>
      <c r="D192" s="24" t="str">
        <f>TEXT('Brand New Mobile Details Data'!$A192,"yyyy")</f>
        <v>2025</v>
      </c>
      <c r="E192" s="8" t="s">
        <v>34</v>
      </c>
      <c r="F192" s="8" t="s">
        <v>18</v>
      </c>
      <c r="G192" s="9">
        <v>70</v>
      </c>
      <c r="H192" s="8" t="s">
        <v>15</v>
      </c>
      <c r="I192" s="8" t="s">
        <v>12</v>
      </c>
    </row>
    <row r="193" spans="1:9" x14ac:dyDescent="0.35">
      <c r="A193" s="14">
        <v>45868</v>
      </c>
      <c r="B193" s="23" t="str">
        <f>TEXT('Brand New Mobile Details Data'!$A193,"MMM")</f>
        <v>Jul</v>
      </c>
      <c r="C193" s="23" t="str">
        <f>TEXT('Brand New Mobile Details Data'!$A193,"dddd")</f>
        <v>Wednesday</v>
      </c>
      <c r="D193" s="24" t="str">
        <f>TEXT('Brand New Mobile Details Data'!$A193,"yyyy")</f>
        <v>2025</v>
      </c>
      <c r="E193" s="8" t="s">
        <v>50</v>
      </c>
      <c r="F193" s="8" t="s">
        <v>28</v>
      </c>
      <c r="G193" s="9">
        <v>80</v>
      </c>
      <c r="H193" s="8" t="s">
        <v>19</v>
      </c>
      <c r="I193" s="8" t="s">
        <v>8</v>
      </c>
    </row>
    <row r="194" spans="1:9" x14ac:dyDescent="0.35">
      <c r="A194" s="12">
        <v>45868</v>
      </c>
      <c r="B194" s="21" t="str">
        <f>TEXT('Brand New Mobile Details Data'!$A194,"MMM")</f>
        <v>Jul</v>
      </c>
      <c r="C194" s="21" t="str">
        <f>TEXT('Brand New Mobile Details Data'!$A194,"dddd")</f>
        <v>Wednesday</v>
      </c>
      <c r="D194" s="22" t="str">
        <f>TEXT('Brand New Mobile Details Data'!$A194,"yyyy")</f>
        <v>2025</v>
      </c>
      <c r="E194" s="3" t="s">
        <v>34</v>
      </c>
      <c r="F194" s="3" t="s">
        <v>10</v>
      </c>
      <c r="G194" s="7">
        <v>60</v>
      </c>
      <c r="H194" s="3" t="s">
        <v>15</v>
      </c>
      <c r="I194" s="3" t="s">
        <v>8</v>
      </c>
    </row>
    <row r="195" spans="1:9" x14ac:dyDescent="0.35">
      <c r="A195" s="12">
        <v>45868</v>
      </c>
      <c r="B195" s="21" t="str">
        <f>TEXT('Brand New Mobile Details Data'!$A195,"MMM")</f>
        <v>Jul</v>
      </c>
      <c r="C195" s="21" t="str">
        <f>TEXT('Brand New Mobile Details Data'!$A195,"dddd")</f>
        <v>Wednesday</v>
      </c>
      <c r="D195" s="22" t="str">
        <f>TEXT('Brand New Mobile Details Data'!$A195,"yyyy")</f>
        <v>2025</v>
      </c>
      <c r="E195" s="3" t="s">
        <v>37</v>
      </c>
      <c r="F195" s="3" t="s">
        <v>14</v>
      </c>
      <c r="G195" s="7">
        <v>120</v>
      </c>
      <c r="H195" s="3" t="s">
        <v>21</v>
      </c>
      <c r="I195" s="3" t="s">
        <v>8</v>
      </c>
    </row>
    <row r="196" spans="1:9" x14ac:dyDescent="0.35">
      <c r="A196" s="14">
        <v>45870</v>
      </c>
      <c r="B196" s="23" t="str">
        <f>TEXT('Brand New Mobile Details Data'!$A196,"MMM")</f>
        <v>Aug</v>
      </c>
      <c r="C196" s="23" t="str">
        <f>TEXT('Brand New Mobile Details Data'!$A196,"dddd")</f>
        <v>Friday</v>
      </c>
      <c r="D196" s="24" t="str">
        <f>TEXT('Brand New Mobile Details Data'!$A196,"yyyy")</f>
        <v>2025</v>
      </c>
      <c r="E196" s="8" t="s">
        <v>54</v>
      </c>
      <c r="F196" s="8" t="s">
        <v>14</v>
      </c>
      <c r="G196" s="9">
        <v>120</v>
      </c>
      <c r="H196" s="8" t="s">
        <v>19</v>
      </c>
      <c r="I196" s="8" t="s">
        <v>16</v>
      </c>
    </row>
    <row r="197" spans="1:9" x14ac:dyDescent="0.35">
      <c r="A197" s="12">
        <v>45873</v>
      </c>
      <c r="B197" s="21" t="str">
        <f>TEXT('Brand New Mobile Details Data'!$A197,"MMM")</f>
        <v>Aug</v>
      </c>
      <c r="C197" s="21" t="str">
        <f>TEXT('Brand New Mobile Details Data'!$A197,"dddd")</f>
        <v>Monday</v>
      </c>
      <c r="D197" s="22" t="str">
        <f>TEXT('Brand New Mobile Details Data'!$A197,"yyyy")</f>
        <v>2025</v>
      </c>
      <c r="E197" s="3" t="s">
        <v>49</v>
      </c>
      <c r="F197" s="3" t="s">
        <v>28</v>
      </c>
      <c r="G197" s="7">
        <v>80</v>
      </c>
      <c r="H197" s="3" t="s">
        <v>15</v>
      </c>
      <c r="I197" s="3" t="s">
        <v>16</v>
      </c>
    </row>
    <row r="198" spans="1:9" x14ac:dyDescent="0.35">
      <c r="A198" s="12">
        <v>45876</v>
      </c>
      <c r="B198" s="21" t="str">
        <f>TEXT('Brand New Mobile Details Data'!$A198,"MMM")</f>
        <v>Aug</v>
      </c>
      <c r="C198" s="21" t="str">
        <f>TEXT('Brand New Mobile Details Data'!$A198,"dddd")</f>
        <v>Thursday</v>
      </c>
      <c r="D198" s="22" t="str">
        <f>TEXT('Brand New Mobile Details Data'!$A198,"yyyy")</f>
        <v>2025</v>
      </c>
      <c r="E198" s="3" t="s">
        <v>24</v>
      </c>
      <c r="F198" s="3" t="s">
        <v>10</v>
      </c>
      <c r="G198" s="7">
        <v>60</v>
      </c>
      <c r="H198" s="3" t="s">
        <v>21</v>
      </c>
      <c r="I198" s="3" t="s">
        <v>8</v>
      </c>
    </row>
    <row r="199" spans="1:9" x14ac:dyDescent="0.35">
      <c r="A199" s="12">
        <v>45877</v>
      </c>
      <c r="B199" s="21" t="str">
        <f>TEXT('Brand New Mobile Details Data'!$A199,"MMM")</f>
        <v>Aug</v>
      </c>
      <c r="C199" s="21" t="str">
        <f>TEXT('Brand New Mobile Details Data'!$A199,"dddd")</f>
        <v>Friday</v>
      </c>
      <c r="D199" s="22" t="str">
        <f>TEXT('Brand New Mobile Details Data'!$A199,"yyyy")</f>
        <v>2025</v>
      </c>
      <c r="E199" s="3" t="s">
        <v>47</v>
      </c>
      <c r="F199" s="3" t="s">
        <v>14</v>
      </c>
      <c r="G199" s="7">
        <v>120</v>
      </c>
      <c r="H199" s="3" t="s">
        <v>19</v>
      </c>
      <c r="I199" s="3" t="s">
        <v>12</v>
      </c>
    </row>
    <row r="200" spans="1:9" x14ac:dyDescent="0.35">
      <c r="A200" s="14">
        <v>45878</v>
      </c>
      <c r="B200" s="23" t="str">
        <f>TEXT('Brand New Mobile Details Data'!$A200,"MMM")</f>
        <v>Aug</v>
      </c>
      <c r="C200" s="23" t="str">
        <f>TEXT('Brand New Mobile Details Data'!$A200,"dddd")</f>
        <v>Saturday</v>
      </c>
      <c r="D200" s="24" t="str">
        <f>TEXT('Brand New Mobile Details Data'!$A200,"yyyy")</f>
        <v>2025</v>
      </c>
      <c r="E200" s="8" t="s">
        <v>9</v>
      </c>
      <c r="F200" s="8" t="s">
        <v>6</v>
      </c>
      <c r="G200" s="9">
        <v>150</v>
      </c>
      <c r="H200" s="8" t="s">
        <v>7</v>
      </c>
      <c r="I200" s="8" t="s">
        <v>12</v>
      </c>
    </row>
    <row r="201" spans="1:9" x14ac:dyDescent="0.35">
      <c r="A201" s="12">
        <v>45879</v>
      </c>
      <c r="B201" s="21" t="str">
        <f>TEXT('Brand New Mobile Details Data'!$A201,"MMM")</f>
        <v>Aug</v>
      </c>
      <c r="C201" s="21" t="str">
        <f>TEXT('Brand New Mobile Details Data'!$A201,"dddd")</f>
        <v>Sunday</v>
      </c>
      <c r="D201" s="22" t="str">
        <f>TEXT('Brand New Mobile Details Data'!$A201,"yyyy")</f>
        <v>2025</v>
      </c>
      <c r="E201" s="3" t="s">
        <v>34</v>
      </c>
      <c r="F201" s="3" t="s">
        <v>10</v>
      </c>
      <c r="G201" s="7">
        <v>60</v>
      </c>
      <c r="H201" s="3" t="s">
        <v>7</v>
      </c>
      <c r="I201" s="3" t="s">
        <v>16</v>
      </c>
    </row>
    <row r="202" spans="1:9" x14ac:dyDescent="0.35">
      <c r="A202" s="12">
        <v>45880</v>
      </c>
      <c r="B202" s="21" t="str">
        <f>TEXT('Brand New Mobile Details Data'!$A202,"MMM")</f>
        <v>Aug</v>
      </c>
      <c r="C202" s="21" t="str">
        <f>TEXT('Brand New Mobile Details Data'!$A202,"dddd")</f>
        <v>Monday</v>
      </c>
      <c r="D202" s="22" t="str">
        <f>TEXT('Brand New Mobile Details Data'!$A202,"yyyy")</f>
        <v>2025</v>
      </c>
      <c r="E202" s="3" t="s">
        <v>64</v>
      </c>
      <c r="F202" s="3" t="s">
        <v>28</v>
      </c>
      <c r="G202" s="7">
        <v>80</v>
      </c>
      <c r="H202" s="3" t="s">
        <v>15</v>
      </c>
      <c r="I202" s="3" t="s">
        <v>8</v>
      </c>
    </row>
    <row r="203" spans="1:9" x14ac:dyDescent="0.35">
      <c r="A203" s="12">
        <v>45881</v>
      </c>
      <c r="B203" s="21" t="str">
        <f>TEXT('Brand New Mobile Details Data'!$A203,"MMM")</f>
        <v>Aug</v>
      </c>
      <c r="C203" s="21" t="str">
        <f>TEXT('Brand New Mobile Details Data'!$A203,"dddd")</f>
        <v>Tuesday</v>
      </c>
      <c r="D203" s="22" t="str">
        <f>TEXT('Brand New Mobile Details Data'!$A203,"yyyy")</f>
        <v>2025</v>
      </c>
      <c r="E203" s="3" t="s">
        <v>29</v>
      </c>
      <c r="F203" s="3" t="s">
        <v>28</v>
      </c>
      <c r="G203" s="7">
        <v>80</v>
      </c>
      <c r="H203" s="3" t="s">
        <v>19</v>
      </c>
      <c r="I203" s="3" t="s">
        <v>12</v>
      </c>
    </row>
    <row r="204" spans="1:9" x14ac:dyDescent="0.35">
      <c r="A204" s="12">
        <v>45886</v>
      </c>
      <c r="B204" s="21" t="str">
        <f>TEXT('Brand New Mobile Details Data'!$A204,"MMM")</f>
        <v>Aug</v>
      </c>
      <c r="C204" s="21" t="str">
        <f>TEXT('Brand New Mobile Details Data'!$A204,"dddd")</f>
        <v>Sunday</v>
      </c>
      <c r="D204" s="22" t="str">
        <f>TEXT('Brand New Mobile Details Data'!$A204,"yyyy")</f>
        <v>2025</v>
      </c>
      <c r="E204" s="3" t="s">
        <v>22</v>
      </c>
      <c r="F204" s="3" t="s">
        <v>14</v>
      </c>
      <c r="G204" s="7">
        <v>120</v>
      </c>
      <c r="H204" s="3" t="s">
        <v>15</v>
      </c>
      <c r="I204" s="3" t="s">
        <v>16</v>
      </c>
    </row>
    <row r="205" spans="1:9" x14ac:dyDescent="0.35">
      <c r="A205" s="12">
        <v>45886</v>
      </c>
      <c r="B205" s="21" t="str">
        <f>TEXT('Brand New Mobile Details Data'!$A205,"MMM")</f>
        <v>Aug</v>
      </c>
      <c r="C205" s="21" t="str">
        <f>TEXT('Brand New Mobile Details Data'!$A205,"dddd")</f>
        <v>Sunday</v>
      </c>
      <c r="D205" s="22" t="str">
        <f>TEXT('Brand New Mobile Details Data'!$A205,"yyyy")</f>
        <v>2025</v>
      </c>
      <c r="E205" s="3" t="s">
        <v>23</v>
      </c>
      <c r="F205" s="3" t="s">
        <v>18</v>
      </c>
      <c r="G205" s="7">
        <v>70</v>
      </c>
      <c r="H205" s="3" t="s">
        <v>21</v>
      </c>
      <c r="I205" s="3" t="s">
        <v>8</v>
      </c>
    </row>
    <row r="206" spans="1:9" x14ac:dyDescent="0.35">
      <c r="A206" s="12">
        <v>45887</v>
      </c>
      <c r="B206" s="21" t="str">
        <f>TEXT('Brand New Mobile Details Data'!$A206,"MMM")</f>
        <v>Aug</v>
      </c>
      <c r="C206" s="21" t="str">
        <f>TEXT('Brand New Mobile Details Data'!$A206,"dddd")</f>
        <v>Monday</v>
      </c>
      <c r="D206" s="22" t="str">
        <f>TEXT('Brand New Mobile Details Data'!$A206,"yyyy")</f>
        <v>2025</v>
      </c>
      <c r="E206" s="3" t="s">
        <v>58</v>
      </c>
      <c r="F206" s="3" t="s">
        <v>10</v>
      </c>
      <c r="G206" s="7">
        <v>60</v>
      </c>
      <c r="H206" s="3" t="s">
        <v>7</v>
      </c>
      <c r="I206" s="3" t="s">
        <v>8</v>
      </c>
    </row>
    <row r="207" spans="1:9" x14ac:dyDescent="0.35">
      <c r="A207" s="14">
        <v>45890</v>
      </c>
      <c r="B207" s="23" t="str">
        <f>TEXT('Brand New Mobile Details Data'!$A207,"MMM")</f>
        <v>Aug</v>
      </c>
      <c r="C207" s="23" t="str">
        <f>TEXT('Brand New Mobile Details Data'!$A207,"dddd")</f>
        <v>Thursday</v>
      </c>
      <c r="D207" s="24" t="str">
        <f>TEXT('Brand New Mobile Details Data'!$A207,"yyyy")</f>
        <v>2025</v>
      </c>
      <c r="E207" s="8" t="s">
        <v>49</v>
      </c>
      <c r="F207" s="8" t="s">
        <v>18</v>
      </c>
      <c r="G207" s="9">
        <v>70</v>
      </c>
      <c r="H207" s="8" t="s">
        <v>19</v>
      </c>
      <c r="I207" s="8" t="s">
        <v>12</v>
      </c>
    </row>
    <row r="208" spans="1:9" x14ac:dyDescent="0.35">
      <c r="A208" s="14">
        <v>45892</v>
      </c>
      <c r="B208" s="23" t="str">
        <f>TEXT('Brand New Mobile Details Data'!$A208,"MMM")</f>
        <v>Aug</v>
      </c>
      <c r="C208" s="23" t="str">
        <f>TEXT('Brand New Mobile Details Data'!$A208,"dddd")</f>
        <v>Saturday</v>
      </c>
      <c r="D208" s="24" t="str">
        <f>TEXT('Brand New Mobile Details Data'!$A208,"yyyy")</f>
        <v>2025</v>
      </c>
      <c r="E208" s="8" t="s">
        <v>37</v>
      </c>
      <c r="F208" s="8" t="s">
        <v>6</v>
      </c>
      <c r="G208" s="9">
        <v>150</v>
      </c>
      <c r="H208" s="8" t="s">
        <v>19</v>
      </c>
      <c r="I208" s="8" t="s">
        <v>8</v>
      </c>
    </row>
    <row r="209" spans="1:9" x14ac:dyDescent="0.35">
      <c r="A209" s="14">
        <v>45894</v>
      </c>
      <c r="B209" s="23" t="str">
        <f>TEXT('Brand New Mobile Details Data'!$A209,"MMM")</f>
        <v>Aug</v>
      </c>
      <c r="C209" s="23" t="str">
        <f>TEXT('Brand New Mobile Details Data'!$A209,"dddd")</f>
        <v>Monday</v>
      </c>
      <c r="D209" s="24" t="str">
        <f>TEXT('Brand New Mobile Details Data'!$A209,"yyyy")</f>
        <v>2025</v>
      </c>
      <c r="E209" s="8" t="s">
        <v>23</v>
      </c>
      <c r="F209" s="8" t="s">
        <v>28</v>
      </c>
      <c r="G209" s="9">
        <v>80</v>
      </c>
      <c r="H209" s="8" t="s">
        <v>11</v>
      </c>
      <c r="I209" s="8" t="s">
        <v>8</v>
      </c>
    </row>
    <row r="210" spans="1:9" x14ac:dyDescent="0.35">
      <c r="A210" s="14">
        <v>45894</v>
      </c>
      <c r="B210" s="23" t="str">
        <f>TEXT('Brand New Mobile Details Data'!$A210,"MMM")</f>
        <v>Aug</v>
      </c>
      <c r="C210" s="23" t="str">
        <f>TEXT('Brand New Mobile Details Data'!$A210,"dddd")</f>
        <v>Monday</v>
      </c>
      <c r="D210" s="24" t="str">
        <f>TEXT('Brand New Mobile Details Data'!$A210,"yyyy")</f>
        <v>2025</v>
      </c>
      <c r="E210" s="8" t="s">
        <v>45</v>
      </c>
      <c r="F210" s="8" t="s">
        <v>6</v>
      </c>
      <c r="G210" s="9">
        <v>150</v>
      </c>
      <c r="H210" s="8" t="s">
        <v>21</v>
      </c>
      <c r="I210" s="8" t="s">
        <v>8</v>
      </c>
    </row>
    <row r="211" spans="1:9" x14ac:dyDescent="0.35">
      <c r="A211" s="12">
        <v>45894</v>
      </c>
      <c r="B211" s="21" t="str">
        <f>TEXT('Brand New Mobile Details Data'!$A211,"MMM")</f>
        <v>Aug</v>
      </c>
      <c r="C211" s="21" t="str">
        <f>TEXT('Brand New Mobile Details Data'!$A211,"dddd")</f>
        <v>Monday</v>
      </c>
      <c r="D211" s="22" t="str">
        <f>TEXT('Brand New Mobile Details Data'!$A211,"yyyy")</f>
        <v>2025</v>
      </c>
      <c r="E211" s="3" t="s">
        <v>41</v>
      </c>
      <c r="F211" s="3" t="s">
        <v>28</v>
      </c>
      <c r="G211" s="7">
        <v>80</v>
      </c>
      <c r="H211" s="3" t="s">
        <v>7</v>
      </c>
      <c r="I211" s="3" t="s">
        <v>8</v>
      </c>
    </row>
    <row r="212" spans="1:9" x14ac:dyDescent="0.35">
      <c r="A212" s="12">
        <v>45895</v>
      </c>
      <c r="B212" s="21" t="str">
        <f>TEXT('Brand New Mobile Details Data'!$A212,"MMM")</f>
        <v>Aug</v>
      </c>
      <c r="C212" s="21" t="str">
        <f>TEXT('Brand New Mobile Details Data'!$A212,"dddd")</f>
        <v>Tuesday</v>
      </c>
      <c r="D212" s="22" t="str">
        <f>TEXT('Brand New Mobile Details Data'!$A212,"yyyy")</f>
        <v>2025</v>
      </c>
      <c r="E212" s="3" t="s">
        <v>63</v>
      </c>
      <c r="F212" s="3" t="s">
        <v>18</v>
      </c>
      <c r="G212" s="7">
        <v>70</v>
      </c>
      <c r="H212" s="3" t="s">
        <v>11</v>
      </c>
      <c r="I212" s="3" t="s">
        <v>16</v>
      </c>
    </row>
    <row r="213" spans="1:9" x14ac:dyDescent="0.35">
      <c r="A213" s="12">
        <v>45897</v>
      </c>
      <c r="B213" s="21" t="str">
        <f>TEXT('Brand New Mobile Details Data'!$A213,"MMM")</f>
        <v>Aug</v>
      </c>
      <c r="C213" s="21" t="str">
        <f>TEXT('Brand New Mobile Details Data'!$A213,"dddd")</f>
        <v>Thursday</v>
      </c>
      <c r="D213" s="22" t="str">
        <f>TEXT('Brand New Mobile Details Data'!$A213,"yyyy")</f>
        <v>2025</v>
      </c>
      <c r="E213" s="3" t="s">
        <v>58</v>
      </c>
      <c r="F213" s="3" t="s">
        <v>18</v>
      </c>
      <c r="G213" s="7">
        <v>70</v>
      </c>
      <c r="H213" s="3" t="s">
        <v>15</v>
      </c>
      <c r="I213" s="3" t="s">
        <v>8</v>
      </c>
    </row>
    <row r="214" spans="1:9" x14ac:dyDescent="0.35">
      <c r="A214" s="14">
        <v>45898</v>
      </c>
      <c r="B214" s="23" t="str">
        <f>TEXT('Brand New Mobile Details Data'!$A214,"MMM")</f>
        <v>Aug</v>
      </c>
      <c r="C214" s="23" t="str">
        <f>TEXT('Brand New Mobile Details Data'!$A214,"dddd")</f>
        <v>Friday</v>
      </c>
      <c r="D214" s="24" t="str">
        <f>TEXT('Brand New Mobile Details Data'!$A214,"yyyy")</f>
        <v>2025</v>
      </c>
      <c r="E214" s="8" t="s">
        <v>35</v>
      </c>
      <c r="F214" s="8" t="s">
        <v>28</v>
      </c>
      <c r="G214" s="9">
        <v>80</v>
      </c>
      <c r="H214" s="8" t="s">
        <v>7</v>
      </c>
      <c r="I214" s="8" t="s">
        <v>16</v>
      </c>
    </row>
    <row r="215" spans="1:9" x14ac:dyDescent="0.35">
      <c r="A215" s="14">
        <v>45898</v>
      </c>
      <c r="B215" s="23" t="str">
        <f>TEXT('Brand New Mobile Details Data'!$A215,"MMM")</f>
        <v>Aug</v>
      </c>
      <c r="C215" s="23" t="str">
        <f>TEXT('Brand New Mobile Details Data'!$A215,"dddd")</f>
        <v>Friday</v>
      </c>
      <c r="D215" s="24" t="str">
        <f>TEXT('Brand New Mobile Details Data'!$A215,"yyyy")</f>
        <v>2025</v>
      </c>
      <c r="E215" s="8" t="s">
        <v>43</v>
      </c>
      <c r="F215" s="8" t="s">
        <v>6</v>
      </c>
      <c r="G215" s="9">
        <v>150</v>
      </c>
      <c r="H215" s="8" t="s">
        <v>15</v>
      </c>
      <c r="I215" s="8" t="s">
        <v>12</v>
      </c>
    </row>
    <row r="216" spans="1:9" x14ac:dyDescent="0.35">
      <c r="A216" s="14">
        <v>45898</v>
      </c>
      <c r="B216" s="23" t="str">
        <f>TEXT('Brand New Mobile Details Data'!$A216,"MMM")</f>
        <v>Aug</v>
      </c>
      <c r="C216" s="23" t="str">
        <f>TEXT('Brand New Mobile Details Data'!$A216,"dddd")</f>
        <v>Friday</v>
      </c>
      <c r="D216" s="24" t="str">
        <f>TEXT('Brand New Mobile Details Data'!$A216,"yyyy")</f>
        <v>2025</v>
      </c>
      <c r="E216" s="8" t="s">
        <v>52</v>
      </c>
      <c r="F216" s="8" t="s">
        <v>18</v>
      </c>
      <c r="G216" s="9">
        <v>70</v>
      </c>
      <c r="H216" s="8" t="s">
        <v>21</v>
      </c>
      <c r="I216" s="8" t="s">
        <v>16</v>
      </c>
    </row>
    <row r="217" spans="1:9" x14ac:dyDescent="0.35">
      <c r="A217" s="12">
        <v>45900</v>
      </c>
      <c r="B217" s="21" t="str">
        <f>TEXT('Brand New Mobile Details Data'!$A217,"MMM")</f>
        <v>Aug</v>
      </c>
      <c r="C217" s="21" t="str">
        <f>TEXT('Brand New Mobile Details Data'!$A217,"dddd")</f>
        <v>Sunday</v>
      </c>
      <c r="D217" s="22" t="str">
        <f>TEXT('Brand New Mobile Details Data'!$A217,"yyyy")</f>
        <v>2025</v>
      </c>
      <c r="E217" s="3" t="s">
        <v>23</v>
      </c>
      <c r="F217" s="3" t="s">
        <v>10</v>
      </c>
      <c r="G217" s="7">
        <v>60</v>
      </c>
      <c r="H217" s="3" t="s">
        <v>11</v>
      </c>
      <c r="I217" s="3" t="s">
        <v>16</v>
      </c>
    </row>
    <row r="218" spans="1:9" x14ac:dyDescent="0.35">
      <c r="A218" s="12">
        <v>45902</v>
      </c>
      <c r="B218" s="21" t="str">
        <f>TEXT('Brand New Mobile Details Data'!$A218,"MMM")</f>
        <v>Sep</v>
      </c>
      <c r="C218" s="21" t="str">
        <f>TEXT('Brand New Mobile Details Data'!$A218,"dddd")</f>
        <v>Tuesday</v>
      </c>
      <c r="D218" s="22" t="str">
        <f>TEXT('Brand New Mobile Details Data'!$A218,"yyyy")</f>
        <v>2025</v>
      </c>
      <c r="E218" s="3" t="s">
        <v>20</v>
      </c>
      <c r="F218" s="3" t="s">
        <v>6</v>
      </c>
      <c r="G218" s="7">
        <v>150</v>
      </c>
      <c r="H218" s="3" t="s">
        <v>7</v>
      </c>
      <c r="I218" s="3" t="s">
        <v>12</v>
      </c>
    </row>
    <row r="219" spans="1:9" x14ac:dyDescent="0.35">
      <c r="A219" s="12">
        <v>45902</v>
      </c>
      <c r="B219" s="21" t="str">
        <f>TEXT('Brand New Mobile Details Data'!$A219,"MMM")</f>
        <v>Sep</v>
      </c>
      <c r="C219" s="21" t="str">
        <f>TEXT('Brand New Mobile Details Data'!$A219,"dddd")</f>
        <v>Tuesday</v>
      </c>
      <c r="D219" s="22" t="str">
        <f>TEXT('Brand New Mobile Details Data'!$A219,"yyyy")</f>
        <v>2025</v>
      </c>
      <c r="E219" s="3" t="s">
        <v>35</v>
      </c>
      <c r="F219" s="3" t="s">
        <v>18</v>
      </c>
      <c r="G219" s="7">
        <v>70</v>
      </c>
      <c r="H219" s="3" t="s">
        <v>19</v>
      </c>
      <c r="I219" s="3" t="s">
        <v>8</v>
      </c>
    </row>
    <row r="220" spans="1:9" x14ac:dyDescent="0.35">
      <c r="A220" s="12">
        <v>45906</v>
      </c>
      <c r="B220" s="21" t="str">
        <f>TEXT('Brand New Mobile Details Data'!$A220,"MMM")</f>
        <v>Sep</v>
      </c>
      <c r="C220" s="21" t="str">
        <f>TEXT('Brand New Mobile Details Data'!$A220,"dddd")</f>
        <v>Saturday</v>
      </c>
      <c r="D220" s="22" t="str">
        <f>TEXT('Brand New Mobile Details Data'!$A220,"yyyy")</f>
        <v>2025</v>
      </c>
      <c r="E220" s="3" t="s">
        <v>55</v>
      </c>
      <c r="F220" s="3" t="s">
        <v>18</v>
      </c>
      <c r="G220" s="7">
        <v>70</v>
      </c>
      <c r="H220" s="3" t="s">
        <v>7</v>
      </c>
      <c r="I220" s="3" t="s">
        <v>16</v>
      </c>
    </row>
    <row r="221" spans="1:9" x14ac:dyDescent="0.35">
      <c r="A221" s="12">
        <v>45910</v>
      </c>
      <c r="B221" s="21" t="str">
        <f>TEXT('Brand New Mobile Details Data'!$A221,"MMM")</f>
        <v>Sep</v>
      </c>
      <c r="C221" s="21" t="str">
        <f>TEXT('Brand New Mobile Details Data'!$A221,"dddd")</f>
        <v>Wednesday</v>
      </c>
      <c r="D221" s="22" t="str">
        <f>TEXT('Brand New Mobile Details Data'!$A221,"yyyy")</f>
        <v>2025</v>
      </c>
      <c r="E221" s="3" t="s">
        <v>31</v>
      </c>
      <c r="F221" s="3" t="s">
        <v>6</v>
      </c>
      <c r="G221" s="7">
        <v>150</v>
      </c>
      <c r="H221" s="3" t="s">
        <v>21</v>
      </c>
      <c r="I221" s="3" t="s">
        <v>16</v>
      </c>
    </row>
    <row r="222" spans="1:9" x14ac:dyDescent="0.35">
      <c r="A222" s="12">
        <v>45911</v>
      </c>
      <c r="B222" s="21" t="str">
        <f>TEXT('Brand New Mobile Details Data'!$A222,"MMM")</f>
        <v>Sep</v>
      </c>
      <c r="C222" s="21" t="str">
        <f>TEXT('Brand New Mobile Details Data'!$A222,"dddd")</f>
        <v>Thursday</v>
      </c>
      <c r="D222" s="22" t="str">
        <f>TEXT('Brand New Mobile Details Data'!$A222,"yyyy")</f>
        <v>2025</v>
      </c>
      <c r="E222" s="3" t="s">
        <v>32</v>
      </c>
      <c r="F222" s="3" t="s">
        <v>14</v>
      </c>
      <c r="G222" s="7">
        <v>120</v>
      </c>
      <c r="H222" s="3" t="s">
        <v>21</v>
      </c>
      <c r="I222" s="3" t="s">
        <v>12</v>
      </c>
    </row>
    <row r="223" spans="1:9" x14ac:dyDescent="0.35">
      <c r="A223" s="12">
        <v>45911</v>
      </c>
      <c r="B223" s="21" t="str">
        <f>TEXT('Brand New Mobile Details Data'!$A223,"MMM")</f>
        <v>Sep</v>
      </c>
      <c r="C223" s="21" t="str">
        <f>TEXT('Brand New Mobile Details Data'!$A223,"dddd")</f>
        <v>Thursday</v>
      </c>
      <c r="D223" s="22" t="str">
        <f>TEXT('Brand New Mobile Details Data'!$A223,"yyyy")</f>
        <v>2025</v>
      </c>
      <c r="E223" s="3" t="s">
        <v>56</v>
      </c>
      <c r="F223" s="3" t="s">
        <v>6</v>
      </c>
      <c r="G223" s="7">
        <v>150</v>
      </c>
      <c r="H223" s="3" t="s">
        <v>7</v>
      </c>
      <c r="I223" s="3" t="s">
        <v>16</v>
      </c>
    </row>
    <row r="224" spans="1:9" x14ac:dyDescent="0.35">
      <c r="A224" s="14">
        <v>45911</v>
      </c>
      <c r="B224" s="23" t="str">
        <f>TEXT('Brand New Mobile Details Data'!$A224,"MMM")</f>
        <v>Sep</v>
      </c>
      <c r="C224" s="23" t="str">
        <f>TEXT('Brand New Mobile Details Data'!$A224,"dddd")</f>
        <v>Thursday</v>
      </c>
      <c r="D224" s="24" t="str">
        <f>TEXT('Brand New Mobile Details Data'!$A224,"yyyy")</f>
        <v>2025</v>
      </c>
      <c r="E224" s="8" t="s">
        <v>37</v>
      </c>
      <c r="F224" s="8" t="s">
        <v>28</v>
      </c>
      <c r="G224" s="9">
        <v>80</v>
      </c>
      <c r="H224" s="8" t="s">
        <v>21</v>
      </c>
      <c r="I224" s="8" t="s">
        <v>16</v>
      </c>
    </row>
    <row r="225" spans="1:9" x14ac:dyDescent="0.35">
      <c r="A225" s="14">
        <v>45916</v>
      </c>
      <c r="B225" s="23" t="str">
        <f>TEXT('Brand New Mobile Details Data'!$A225,"MMM")</f>
        <v>Sep</v>
      </c>
      <c r="C225" s="23" t="str">
        <f>TEXT('Brand New Mobile Details Data'!$A225,"dddd")</f>
        <v>Tuesday</v>
      </c>
      <c r="D225" s="24" t="str">
        <f>TEXT('Brand New Mobile Details Data'!$A225,"yyyy")</f>
        <v>2025</v>
      </c>
      <c r="E225" s="8" t="s">
        <v>32</v>
      </c>
      <c r="F225" s="8" t="s">
        <v>10</v>
      </c>
      <c r="G225" s="9">
        <v>60</v>
      </c>
      <c r="H225" s="8" t="s">
        <v>21</v>
      </c>
      <c r="I225" s="8" t="s">
        <v>16</v>
      </c>
    </row>
    <row r="226" spans="1:9" x14ac:dyDescent="0.35">
      <c r="A226" s="14">
        <v>45917</v>
      </c>
      <c r="B226" s="23" t="str">
        <f>TEXT('Brand New Mobile Details Data'!$A226,"MMM")</f>
        <v>Sep</v>
      </c>
      <c r="C226" s="23" t="str">
        <f>TEXT('Brand New Mobile Details Data'!$A226,"dddd")</f>
        <v>Wednesday</v>
      </c>
      <c r="D226" s="24" t="str">
        <f>TEXT('Brand New Mobile Details Data'!$A226,"yyyy")</f>
        <v>2025</v>
      </c>
      <c r="E226" s="8" t="s">
        <v>46</v>
      </c>
      <c r="F226" s="8" t="s">
        <v>14</v>
      </c>
      <c r="G226" s="9">
        <v>120</v>
      </c>
      <c r="H226" s="8" t="s">
        <v>21</v>
      </c>
      <c r="I226" s="8" t="s">
        <v>8</v>
      </c>
    </row>
    <row r="227" spans="1:9" x14ac:dyDescent="0.35">
      <c r="A227" s="12">
        <v>45918</v>
      </c>
      <c r="B227" s="21" t="str">
        <f>TEXT('Brand New Mobile Details Data'!$A227,"MMM")</f>
        <v>Sep</v>
      </c>
      <c r="C227" s="21" t="str">
        <f>TEXT('Brand New Mobile Details Data'!$A227,"dddd")</f>
        <v>Thursday</v>
      </c>
      <c r="D227" s="22" t="str">
        <f>TEXT('Brand New Mobile Details Data'!$A227,"yyyy")</f>
        <v>2025</v>
      </c>
      <c r="E227" s="3" t="s">
        <v>65</v>
      </c>
      <c r="F227" s="3" t="s">
        <v>10</v>
      </c>
      <c r="G227" s="7">
        <v>60</v>
      </c>
      <c r="H227" s="3" t="s">
        <v>7</v>
      </c>
      <c r="I227" s="3" t="s">
        <v>16</v>
      </c>
    </row>
    <row r="228" spans="1:9" x14ac:dyDescent="0.35">
      <c r="A228" s="14">
        <v>45920</v>
      </c>
      <c r="B228" s="23" t="str">
        <f>TEXT('Brand New Mobile Details Data'!$A228,"MMM")</f>
        <v>Sep</v>
      </c>
      <c r="C228" s="23" t="str">
        <f>TEXT('Brand New Mobile Details Data'!$A228,"dddd")</f>
        <v>Saturday</v>
      </c>
      <c r="D228" s="24" t="str">
        <f>TEXT('Brand New Mobile Details Data'!$A228,"yyyy")</f>
        <v>2025</v>
      </c>
      <c r="E228" s="8" t="s">
        <v>60</v>
      </c>
      <c r="F228" s="8" t="s">
        <v>18</v>
      </c>
      <c r="G228" s="9">
        <v>70</v>
      </c>
      <c r="H228" s="8" t="s">
        <v>7</v>
      </c>
      <c r="I228" s="8" t="s">
        <v>12</v>
      </c>
    </row>
    <row r="229" spans="1:9" x14ac:dyDescent="0.35">
      <c r="A229" s="14">
        <v>45921</v>
      </c>
      <c r="B229" s="23" t="str">
        <f>TEXT('Brand New Mobile Details Data'!$A229,"MMM")</f>
        <v>Sep</v>
      </c>
      <c r="C229" s="23" t="str">
        <f>TEXT('Brand New Mobile Details Data'!$A229,"dddd")</f>
        <v>Sunday</v>
      </c>
      <c r="D229" s="24" t="str">
        <f>TEXT('Brand New Mobile Details Data'!$A229,"yyyy")</f>
        <v>2025</v>
      </c>
      <c r="E229" s="8" t="s">
        <v>52</v>
      </c>
      <c r="F229" s="8" t="s">
        <v>6</v>
      </c>
      <c r="G229" s="9">
        <v>150</v>
      </c>
      <c r="H229" s="8" t="s">
        <v>7</v>
      </c>
      <c r="I229" s="8" t="s">
        <v>16</v>
      </c>
    </row>
    <row r="230" spans="1:9" x14ac:dyDescent="0.35">
      <c r="A230" s="14">
        <v>45921</v>
      </c>
      <c r="B230" s="23" t="str">
        <f>TEXT('Brand New Mobile Details Data'!$A230,"MMM")</f>
        <v>Sep</v>
      </c>
      <c r="C230" s="23" t="str">
        <f>TEXT('Brand New Mobile Details Data'!$A230,"dddd")</f>
        <v>Sunday</v>
      </c>
      <c r="D230" s="24" t="str">
        <f>TEXT('Brand New Mobile Details Data'!$A230,"yyyy")</f>
        <v>2025</v>
      </c>
      <c r="E230" s="8" t="s">
        <v>61</v>
      </c>
      <c r="F230" s="8" t="s">
        <v>10</v>
      </c>
      <c r="G230" s="9">
        <v>60</v>
      </c>
      <c r="H230" s="8" t="s">
        <v>21</v>
      </c>
      <c r="I230" s="8" t="s">
        <v>12</v>
      </c>
    </row>
    <row r="231" spans="1:9" x14ac:dyDescent="0.35">
      <c r="A231" s="14">
        <v>45922</v>
      </c>
      <c r="B231" s="23" t="str">
        <f>TEXT('Brand New Mobile Details Data'!$A231,"MMM")</f>
        <v>Sep</v>
      </c>
      <c r="C231" s="23" t="str">
        <f>TEXT('Brand New Mobile Details Data'!$A231,"dddd")</f>
        <v>Monday</v>
      </c>
      <c r="D231" s="24" t="str">
        <f>TEXT('Brand New Mobile Details Data'!$A231,"yyyy")</f>
        <v>2025</v>
      </c>
      <c r="E231" s="8" t="s">
        <v>25</v>
      </c>
      <c r="F231" s="8" t="s">
        <v>18</v>
      </c>
      <c r="G231" s="9">
        <v>70</v>
      </c>
      <c r="H231" s="8" t="s">
        <v>21</v>
      </c>
      <c r="I231" s="8" t="s">
        <v>16</v>
      </c>
    </row>
    <row r="232" spans="1:9" x14ac:dyDescent="0.35">
      <c r="A232" s="14">
        <v>45925</v>
      </c>
      <c r="B232" s="23" t="str">
        <f>TEXT('Brand New Mobile Details Data'!$A232,"MMM")</f>
        <v>Sep</v>
      </c>
      <c r="C232" s="23" t="str">
        <f>TEXT('Brand New Mobile Details Data'!$A232,"dddd")</f>
        <v>Thursday</v>
      </c>
      <c r="D232" s="24" t="str">
        <f>TEXT('Brand New Mobile Details Data'!$A232,"yyyy")</f>
        <v>2025</v>
      </c>
      <c r="E232" s="8" t="s">
        <v>31</v>
      </c>
      <c r="F232" s="8" t="s">
        <v>18</v>
      </c>
      <c r="G232" s="9">
        <v>70</v>
      </c>
      <c r="H232" s="8" t="s">
        <v>11</v>
      </c>
      <c r="I232" s="8" t="s">
        <v>16</v>
      </c>
    </row>
    <row r="233" spans="1:9" x14ac:dyDescent="0.35">
      <c r="A233" s="12">
        <v>45925</v>
      </c>
      <c r="B233" s="21" t="str">
        <f>TEXT('Brand New Mobile Details Data'!$A233,"MMM")</f>
        <v>Sep</v>
      </c>
      <c r="C233" s="21" t="str">
        <f>TEXT('Brand New Mobile Details Data'!$A233,"dddd")</f>
        <v>Thursday</v>
      </c>
      <c r="D233" s="22" t="str">
        <f>TEXT('Brand New Mobile Details Data'!$A233,"yyyy")</f>
        <v>2025</v>
      </c>
      <c r="E233" s="3" t="s">
        <v>53</v>
      </c>
      <c r="F233" s="3" t="s">
        <v>14</v>
      </c>
      <c r="G233" s="7">
        <v>120</v>
      </c>
      <c r="H233" s="3" t="s">
        <v>21</v>
      </c>
      <c r="I233" s="3" t="s">
        <v>12</v>
      </c>
    </row>
    <row r="234" spans="1:9" x14ac:dyDescent="0.35">
      <c r="A234" s="14">
        <v>45926</v>
      </c>
      <c r="B234" s="23" t="str">
        <f>TEXT('Brand New Mobile Details Data'!$A234,"MMM")</f>
        <v>Sep</v>
      </c>
      <c r="C234" s="23" t="str">
        <f>TEXT('Brand New Mobile Details Data'!$A234,"dddd")</f>
        <v>Friday</v>
      </c>
      <c r="D234" s="24" t="str">
        <f>TEXT('Brand New Mobile Details Data'!$A234,"yyyy")</f>
        <v>2025</v>
      </c>
      <c r="E234" s="8" t="s">
        <v>23</v>
      </c>
      <c r="F234" s="8" t="s">
        <v>18</v>
      </c>
      <c r="G234" s="9">
        <v>70</v>
      </c>
      <c r="H234" s="8" t="s">
        <v>7</v>
      </c>
      <c r="I234" s="8" t="s">
        <v>12</v>
      </c>
    </row>
    <row r="235" spans="1:9" x14ac:dyDescent="0.35">
      <c r="A235" s="14">
        <v>45929</v>
      </c>
      <c r="B235" s="23" t="str">
        <f>TEXT('Brand New Mobile Details Data'!$A235,"MMM")</f>
        <v>Sep</v>
      </c>
      <c r="C235" s="23" t="str">
        <f>TEXT('Brand New Mobile Details Data'!$A235,"dddd")</f>
        <v>Monday</v>
      </c>
      <c r="D235" s="24" t="str">
        <f>TEXT('Brand New Mobile Details Data'!$A235,"yyyy")</f>
        <v>2025</v>
      </c>
      <c r="E235" s="8" t="s">
        <v>20</v>
      </c>
      <c r="F235" s="8" t="s">
        <v>6</v>
      </c>
      <c r="G235" s="9">
        <v>150</v>
      </c>
      <c r="H235" s="8" t="s">
        <v>15</v>
      </c>
      <c r="I235" s="8" t="s">
        <v>8</v>
      </c>
    </row>
    <row r="236" spans="1:9" x14ac:dyDescent="0.35">
      <c r="A236" s="12">
        <v>45931</v>
      </c>
      <c r="B236" s="21" t="str">
        <f>TEXT('Brand New Mobile Details Data'!$A236,"MMM")</f>
        <v>Oct</v>
      </c>
      <c r="C236" s="21" t="str">
        <f>TEXT('Brand New Mobile Details Data'!$A236,"dddd")</f>
        <v>Wednesday</v>
      </c>
      <c r="D236" s="22" t="str">
        <f>TEXT('Brand New Mobile Details Data'!$A236,"yyyy")</f>
        <v>2025</v>
      </c>
      <c r="E236" s="3" t="s">
        <v>30</v>
      </c>
      <c r="F236" s="3" t="s">
        <v>28</v>
      </c>
      <c r="G236" s="7">
        <v>80</v>
      </c>
      <c r="H236" s="3" t="s">
        <v>15</v>
      </c>
      <c r="I236" s="3" t="s">
        <v>16</v>
      </c>
    </row>
    <row r="237" spans="1:9" x14ac:dyDescent="0.35">
      <c r="A237" s="12">
        <v>45931</v>
      </c>
      <c r="B237" s="21" t="str">
        <f>TEXT('Brand New Mobile Details Data'!$A237,"MMM")</f>
        <v>Oct</v>
      </c>
      <c r="C237" s="21" t="str">
        <f>TEXT('Brand New Mobile Details Data'!$A237,"dddd")</f>
        <v>Wednesday</v>
      </c>
      <c r="D237" s="22" t="str">
        <f>TEXT('Brand New Mobile Details Data'!$A237,"yyyy")</f>
        <v>2025</v>
      </c>
      <c r="E237" s="3" t="s">
        <v>63</v>
      </c>
      <c r="F237" s="3" t="s">
        <v>18</v>
      </c>
      <c r="G237" s="7">
        <v>70</v>
      </c>
      <c r="H237" s="3" t="s">
        <v>19</v>
      </c>
      <c r="I237" s="3" t="s">
        <v>12</v>
      </c>
    </row>
    <row r="238" spans="1:9" x14ac:dyDescent="0.35">
      <c r="A238" s="14">
        <v>45934</v>
      </c>
      <c r="B238" s="23" t="str">
        <f>TEXT('Brand New Mobile Details Data'!$A238,"MMM")</f>
        <v>Oct</v>
      </c>
      <c r="C238" s="23" t="str">
        <f>TEXT('Brand New Mobile Details Data'!$A238,"dddd")</f>
        <v>Saturday</v>
      </c>
      <c r="D238" s="24" t="str">
        <f>TEXT('Brand New Mobile Details Data'!$A238,"yyyy")</f>
        <v>2025</v>
      </c>
      <c r="E238" s="8" t="s">
        <v>49</v>
      </c>
      <c r="F238" s="8" t="s">
        <v>10</v>
      </c>
      <c r="G238" s="9">
        <v>60</v>
      </c>
      <c r="H238" s="8" t="s">
        <v>21</v>
      </c>
      <c r="I238" s="8" t="s">
        <v>16</v>
      </c>
    </row>
    <row r="239" spans="1:9" x14ac:dyDescent="0.35">
      <c r="A239" s="12">
        <v>45935</v>
      </c>
      <c r="B239" s="21" t="str">
        <f>TEXT('Brand New Mobile Details Data'!$A239,"MMM")</f>
        <v>Oct</v>
      </c>
      <c r="C239" s="21" t="str">
        <f>TEXT('Brand New Mobile Details Data'!$A239,"dddd")</f>
        <v>Sunday</v>
      </c>
      <c r="D239" s="22" t="str">
        <f>TEXT('Brand New Mobile Details Data'!$A239,"yyyy")</f>
        <v>2025</v>
      </c>
      <c r="E239" s="3" t="s">
        <v>20</v>
      </c>
      <c r="F239" s="3" t="s">
        <v>14</v>
      </c>
      <c r="G239" s="7">
        <v>120</v>
      </c>
      <c r="H239" s="3" t="s">
        <v>15</v>
      </c>
      <c r="I239" s="3" t="s">
        <v>12</v>
      </c>
    </row>
    <row r="240" spans="1:9" x14ac:dyDescent="0.35">
      <c r="A240" s="14">
        <v>45936</v>
      </c>
      <c r="B240" s="23" t="str">
        <f>TEXT('Brand New Mobile Details Data'!$A240,"MMM")</f>
        <v>Oct</v>
      </c>
      <c r="C240" s="23" t="str">
        <f>TEXT('Brand New Mobile Details Data'!$A240,"dddd")</f>
        <v>Monday</v>
      </c>
      <c r="D240" s="24" t="str">
        <f>TEXT('Brand New Mobile Details Data'!$A240,"yyyy")</f>
        <v>2025</v>
      </c>
      <c r="E240" s="8" t="s">
        <v>36</v>
      </c>
      <c r="F240" s="8" t="s">
        <v>6</v>
      </c>
      <c r="G240" s="9">
        <v>150</v>
      </c>
      <c r="H240" s="8" t="s">
        <v>11</v>
      </c>
      <c r="I240" s="8" t="s">
        <v>16</v>
      </c>
    </row>
    <row r="241" spans="1:9" x14ac:dyDescent="0.35">
      <c r="A241" s="14">
        <v>45939</v>
      </c>
      <c r="B241" s="23" t="str">
        <f>TEXT('Brand New Mobile Details Data'!$A241,"MMM")</f>
        <v>Oct</v>
      </c>
      <c r="C241" s="23" t="str">
        <f>TEXT('Brand New Mobile Details Data'!$A241,"dddd")</f>
        <v>Thursday</v>
      </c>
      <c r="D241" s="24" t="str">
        <f>TEXT('Brand New Mobile Details Data'!$A241,"yyyy")</f>
        <v>2025</v>
      </c>
      <c r="E241" s="8" t="s">
        <v>30</v>
      </c>
      <c r="F241" s="8" t="s">
        <v>10</v>
      </c>
      <c r="G241" s="9">
        <v>60</v>
      </c>
      <c r="H241" s="8" t="s">
        <v>11</v>
      </c>
      <c r="I241" s="8" t="s">
        <v>16</v>
      </c>
    </row>
    <row r="242" spans="1:9" x14ac:dyDescent="0.35">
      <c r="A242" s="14">
        <v>45940</v>
      </c>
      <c r="B242" s="23" t="str">
        <f>TEXT('Brand New Mobile Details Data'!$A242,"MMM")</f>
        <v>Oct</v>
      </c>
      <c r="C242" s="23" t="str">
        <f>TEXT('Brand New Mobile Details Data'!$A242,"dddd")</f>
        <v>Friday</v>
      </c>
      <c r="D242" s="24" t="str">
        <f>TEXT('Brand New Mobile Details Data'!$A242,"yyyy")</f>
        <v>2025</v>
      </c>
      <c r="E242" s="8" t="s">
        <v>38</v>
      </c>
      <c r="F242" s="8" t="s">
        <v>28</v>
      </c>
      <c r="G242" s="9">
        <v>80</v>
      </c>
      <c r="H242" s="8" t="s">
        <v>7</v>
      </c>
      <c r="I242" s="8" t="s">
        <v>12</v>
      </c>
    </row>
    <row r="243" spans="1:9" x14ac:dyDescent="0.35">
      <c r="A243" s="12">
        <v>45941</v>
      </c>
      <c r="B243" s="21" t="str">
        <f>TEXT('Brand New Mobile Details Data'!$A243,"MMM")</f>
        <v>Oct</v>
      </c>
      <c r="C243" s="21" t="str">
        <f>TEXT('Brand New Mobile Details Data'!$A243,"dddd")</f>
        <v>Saturday</v>
      </c>
      <c r="D243" s="22" t="str">
        <f>TEXT('Brand New Mobile Details Data'!$A243,"yyyy")</f>
        <v>2025</v>
      </c>
      <c r="E243" s="3" t="s">
        <v>32</v>
      </c>
      <c r="F243" s="3" t="s">
        <v>28</v>
      </c>
      <c r="G243" s="7">
        <v>80</v>
      </c>
      <c r="H243" s="3" t="s">
        <v>19</v>
      </c>
      <c r="I243" s="3" t="s">
        <v>16</v>
      </c>
    </row>
    <row r="244" spans="1:9" x14ac:dyDescent="0.35">
      <c r="A244" s="14">
        <v>45941</v>
      </c>
      <c r="B244" s="23" t="str">
        <f>TEXT('Brand New Mobile Details Data'!$A244,"MMM")</f>
        <v>Oct</v>
      </c>
      <c r="C244" s="23" t="str">
        <f>TEXT('Brand New Mobile Details Data'!$A244,"dddd")</f>
        <v>Saturday</v>
      </c>
      <c r="D244" s="24" t="str">
        <f>TEXT('Brand New Mobile Details Data'!$A244,"yyyy")</f>
        <v>2025</v>
      </c>
      <c r="E244" s="8" t="s">
        <v>41</v>
      </c>
      <c r="F244" s="8" t="s">
        <v>14</v>
      </c>
      <c r="G244" s="9">
        <v>120</v>
      </c>
      <c r="H244" s="8" t="s">
        <v>19</v>
      </c>
      <c r="I244" s="8" t="s">
        <v>12</v>
      </c>
    </row>
    <row r="245" spans="1:9" x14ac:dyDescent="0.35">
      <c r="A245" s="12">
        <v>45942</v>
      </c>
      <c r="B245" s="21" t="str">
        <f>TEXT('Brand New Mobile Details Data'!$A245,"MMM")</f>
        <v>Oct</v>
      </c>
      <c r="C245" s="21" t="str">
        <f>TEXT('Brand New Mobile Details Data'!$A245,"dddd")</f>
        <v>Sunday</v>
      </c>
      <c r="D245" s="22" t="str">
        <f>TEXT('Brand New Mobile Details Data'!$A245,"yyyy")</f>
        <v>2025</v>
      </c>
      <c r="E245" s="3" t="s">
        <v>51</v>
      </c>
      <c r="F245" s="3" t="s">
        <v>6</v>
      </c>
      <c r="G245" s="7">
        <v>150</v>
      </c>
      <c r="H245" s="3" t="s">
        <v>21</v>
      </c>
      <c r="I245" s="3" t="s">
        <v>8</v>
      </c>
    </row>
    <row r="246" spans="1:9" x14ac:dyDescent="0.35">
      <c r="A246" s="12">
        <v>45944</v>
      </c>
      <c r="B246" s="21" t="str">
        <f>TEXT('Brand New Mobile Details Data'!$A246,"MMM")</f>
        <v>Oct</v>
      </c>
      <c r="C246" s="21" t="str">
        <f>TEXT('Brand New Mobile Details Data'!$A246,"dddd")</f>
        <v>Tuesday</v>
      </c>
      <c r="D246" s="22" t="str">
        <f>TEXT('Brand New Mobile Details Data'!$A246,"yyyy")</f>
        <v>2025</v>
      </c>
      <c r="E246" s="3" t="s">
        <v>35</v>
      </c>
      <c r="F246" s="3" t="s">
        <v>10</v>
      </c>
      <c r="G246" s="7">
        <v>60</v>
      </c>
      <c r="H246" s="3" t="s">
        <v>21</v>
      </c>
      <c r="I246" s="3" t="s">
        <v>8</v>
      </c>
    </row>
    <row r="247" spans="1:9" x14ac:dyDescent="0.35">
      <c r="A247" s="14">
        <v>45945</v>
      </c>
      <c r="B247" s="23" t="str">
        <f>TEXT('Brand New Mobile Details Data'!$A247,"MMM")</f>
        <v>Oct</v>
      </c>
      <c r="C247" s="23" t="str">
        <f>TEXT('Brand New Mobile Details Data'!$A247,"dddd")</f>
        <v>Wednesday</v>
      </c>
      <c r="D247" s="24" t="str">
        <f>TEXT('Brand New Mobile Details Data'!$A247,"yyyy")</f>
        <v>2025</v>
      </c>
      <c r="E247" s="8" t="s">
        <v>5</v>
      </c>
      <c r="F247" s="8" t="s">
        <v>28</v>
      </c>
      <c r="G247" s="9">
        <v>80</v>
      </c>
      <c r="H247" s="8" t="s">
        <v>7</v>
      </c>
      <c r="I247" s="8" t="s">
        <v>12</v>
      </c>
    </row>
    <row r="248" spans="1:9" x14ac:dyDescent="0.35">
      <c r="A248" s="12">
        <v>45945</v>
      </c>
      <c r="B248" s="21" t="str">
        <f>TEXT('Brand New Mobile Details Data'!$A248,"MMM")</f>
        <v>Oct</v>
      </c>
      <c r="C248" s="21" t="str">
        <f>TEXT('Brand New Mobile Details Data'!$A248,"dddd")</f>
        <v>Wednesday</v>
      </c>
      <c r="D248" s="22" t="str">
        <f>TEXT('Brand New Mobile Details Data'!$A248,"yyyy")</f>
        <v>2025</v>
      </c>
      <c r="E248" s="3" t="s">
        <v>41</v>
      </c>
      <c r="F248" s="3" t="s">
        <v>6</v>
      </c>
      <c r="G248" s="7">
        <v>150</v>
      </c>
      <c r="H248" s="3" t="s">
        <v>19</v>
      </c>
      <c r="I248" s="3" t="s">
        <v>8</v>
      </c>
    </row>
    <row r="249" spans="1:9" x14ac:dyDescent="0.35">
      <c r="A249" s="12">
        <v>45945</v>
      </c>
      <c r="B249" s="21" t="str">
        <f>TEXT('Brand New Mobile Details Data'!$A249,"MMM")</f>
        <v>Oct</v>
      </c>
      <c r="C249" s="21" t="str">
        <f>TEXT('Brand New Mobile Details Data'!$A249,"dddd")</f>
        <v>Wednesday</v>
      </c>
      <c r="D249" s="22" t="str">
        <f>TEXT('Brand New Mobile Details Data'!$A249,"yyyy")</f>
        <v>2025</v>
      </c>
      <c r="E249" s="3" t="s">
        <v>57</v>
      </c>
      <c r="F249" s="3" t="s">
        <v>18</v>
      </c>
      <c r="G249" s="7">
        <v>70</v>
      </c>
      <c r="H249" s="3" t="s">
        <v>11</v>
      </c>
      <c r="I249" s="3" t="s">
        <v>16</v>
      </c>
    </row>
    <row r="250" spans="1:9" x14ac:dyDescent="0.35">
      <c r="A250" s="12">
        <v>45950</v>
      </c>
      <c r="B250" s="21" t="str">
        <f>TEXT('Brand New Mobile Details Data'!$A250,"MMM")</f>
        <v>Oct</v>
      </c>
      <c r="C250" s="21" t="str">
        <f>TEXT('Brand New Mobile Details Data'!$A250,"dddd")</f>
        <v>Monday</v>
      </c>
      <c r="D250" s="22" t="str">
        <f>TEXT('Brand New Mobile Details Data'!$A250,"yyyy")</f>
        <v>2025</v>
      </c>
      <c r="E250" s="3" t="s">
        <v>56</v>
      </c>
      <c r="F250" s="3" t="s">
        <v>18</v>
      </c>
      <c r="G250" s="7">
        <v>70</v>
      </c>
      <c r="H250" s="3" t="s">
        <v>11</v>
      </c>
      <c r="I250" s="3" t="s">
        <v>16</v>
      </c>
    </row>
    <row r="251" spans="1:9" x14ac:dyDescent="0.35">
      <c r="A251" s="12">
        <v>45952</v>
      </c>
      <c r="B251" s="21" t="str">
        <f>TEXT('Brand New Mobile Details Data'!$A251,"MMM")</f>
        <v>Oct</v>
      </c>
      <c r="C251" s="21" t="str">
        <f>TEXT('Brand New Mobile Details Data'!$A251,"dddd")</f>
        <v>Wednesday</v>
      </c>
      <c r="D251" s="22" t="str">
        <f>TEXT('Brand New Mobile Details Data'!$A251,"yyyy")</f>
        <v>2025</v>
      </c>
      <c r="E251" s="3" t="s">
        <v>48</v>
      </c>
      <c r="F251" s="3" t="s">
        <v>28</v>
      </c>
      <c r="G251" s="7">
        <v>80</v>
      </c>
      <c r="H251" s="3" t="s">
        <v>21</v>
      </c>
      <c r="I251" s="3" t="s">
        <v>8</v>
      </c>
    </row>
    <row r="252" spans="1:9" x14ac:dyDescent="0.35">
      <c r="A252" s="12">
        <v>45952</v>
      </c>
      <c r="B252" s="21" t="str">
        <f>TEXT('Brand New Mobile Details Data'!$A252,"MMM")</f>
        <v>Oct</v>
      </c>
      <c r="C252" s="21" t="str">
        <f>TEXT('Brand New Mobile Details Data'!$A252,"dddd")</f>
        <v>Wednesday</v>
      </c>
      <c r="D252" s="22" t="str">
        <f>TEXT('Brand New Mobile Details Data'!$A252,"yyyy")</f>
        <v>2025</v>
      </c>
      <c r="E252" s="3" t="s">
        <v>46</v>
      </c>
      <c r="F252" s="3" t="s">
        <v>28</v>
      </c>
      <c r="G252" s="7">
        <v>80</v>
      </c>
      <c r="H252" s="3" t="s">
        <v>15</v>
      </c>
      <c r="I252" s="3" t="s">
        <v>12</v>
      </c>
    </row>
    <row r="253" spans="1:9" x14ac:dyDescent="0.35">
      <c r="A253" s="12">
        <v>45953</v>
      </c>
      <c r="B253" s="21" t="str">
        <f>TEXT('Brand New Mobile Details Data'!$A253,"MMM")</f>
        <v>Oct</v>
      </c>
      <c r="C253" s="21" t="str">
        <f>TEXT('Brand New Mobile Details Data'!$A253,"dddd")</f>
        <v>Thursday</v>
      </c>
      <c r="D253" s="22" t="str">
        <f>TEXT('Brand New Mobile Details Data'!$A253,"yyyy")</f>
        <v>2025</v>
      </c>
      <c r="E253" s="3" t="s">
        <v>46</v>
      </c>
      <c r="F253" s="3" t="s">
        <v>18</v>
      </c>
      <c r="G253" s="7">
        <v>70</v>
      </c>
      <c r="H253" s="3" t="s">
        <v>19</v>
      </c>
      <c r="I253" s="3" t="s">
        <v>8</v>
      </c>
    </row>
    <row r="254" spans="1:9" x14ac:dyDescent="0.35">
      <c r="A254" s="14">
        <v>45959</v>
      </c>
      <c r="B254" s="23" t="str">
        <f>TEXT('Brand New Mobile Details Data'!$A254,"MMM")</f>
        <v>Oct</v>
      </c>
      <c r="C254" s="23" t="str">
        <f>TEXT('Brand New Mobile Details Data'!$A254,"dddd")</f>
        <v>Wednesday</v>
      </c>
      <c r="D254" s="24" t="str">
        <f>TEXT('Brand New Mobile Details Data'!$A254,"yyyy")</f>
        <v>2025</v>
      </c>
      <c r="E254" s="8" t="s">
        <v>42</v>
      </c>
      <c r="F254" s="8" t="s">
        <v>10</v>
      </c>
      <c r="G254" s="9">
        <v>60</v>
      </c>
      <c r="H254" s="8" t="s">
        <v>19</v>
      </c>
      <c r="I254" s="8" t="s">
        <v>16</v>
      </c>
    </row>
    <row r="255" spans="1:9" x14ac:dyDescent="0.35">
      <c r="A255" s="14">
        <v>45960</v>
      </c>
      <c r="B255" s="23" t="str">
        <f>TEXT('Brand New Mobile Details Data'!$A255,"MMM")</f>
        <v>Oct</v>
      </c>
      <c r="C255" s="23" t="str">
        <f>TEXT('Brand New Mobile Details Data'!$A255,"dddd")</f>
        <v>Thursday</v>
      </c>
      <c r="D255" s="24" t="str">
        <f>TEXT('Brand New Mobile Details Data'!$A255,"yyyy")</f>
        <v>2025</v>
      </c>
      <c r="E255" s="8" t="s">
        <v>63</v>
      </c>
      <c r="F255" s="8" t="s">
        <v>6</v>
      </c>
      <c r="G255" s="9">
        <v>150</v>
      </c>
      <c r="H255" s="8" t="s">
        <v>11</v>
      </c>
      <c r="I255" s="8" t="s">
        <v>16</v>
      </c>
    </row>
    <row r="256" spans="1:9" x14ac:dyDescent="0.35">
      <c r="A256" s="14">
        <v>45960</v>
      </c>
      <c r="B256" s="23" t="str">
        <f>TEXT('Brand New Mobile Details Data'!$A256,"MMM")</f>
        <v>Oct</v>
      </c>
      <c r="C256" s="23" t="str">
        <f>TEXT('Brand New Mobile Details Data'!$A256,"dddd")</f>
        <v>Thursday</v>
      </c>
      <c r="D256" s="24" t="str">
        <f>TEXT('Brand New Mobile Details Data'!$A256,"yyyy")</f>
        <v>2025</v>
      </c>
      <c r="E256" s="8" t="s">
        <v>40</v>
      </c>
      <c r="F256" s="8" t="s">
        <v>10</v>
      </c>
      <c r="G256" s="9">
        <v>60</v>
      </c>
      <c r="H256" s="8" t="s">
        <v>19</v>
      </c>
      <c r="I256" s="8" t="s">
        <v>12</v>
      </c>
    </row>
    <row r="257" spans="1:9" x14ac:dyDescent="0.35">
      <c r="A257" s="14">
        <v>45960</v>
      </c>
      <c r="B257" s="23" t="str">
        <f>TEXT('Brand New Mobile Details Data'!$A257,"MMM")</f>
        <v>Oct</v>
      </c>
      <c r="C257" s="23" t="str">
        <f>TEXT('Brand New Mobile Details Data'!$A257,"dddd")</f>
        <v>Thursday</v>
      </c>
      <c r="D257" s="24" t="str">
        <f>TEXT('Brand New Mobile Details Data'!$A257,"yyyy")</f>
        <v>2025</v>
      </c>
      <c r="E257" s="8" t="s">
        <v>25</v>
      </c>
      <c r="F257" s="8" t="s">
        <v>6</v>
      </c>
      <c r="G257" s="9">
        <v>150</v>
      </c>
      <c r="H257" s="8" t="s">
        <v>15</v>
      </c>
      <c r="I257" s="8" t="s">
        <v>12</v>
      </c>
    </row>
    <row r="258" spans="1:9" x14ac:dyDescent="0.35">
      <c r="A258" s="12">
        <v>45960</v>
      </c>
      <c r="B258" s="21" t="str">
        <f>TEXT('Brand New Mobile Details Data'!$A258,"MMM")</f>
        <v>Oct</v>
      </c>
      <c r="C258" s="21" t="str">
        <f>TEXT('Brand New Mobile Details Data'!$A258,"dddd")</f>
        <v>Thursday</v>
      </c>
      <c r="D258" s="22" t="str">
        <f>TEXT('Brand New Mobile Details Data'!$A258,"yyyy")</f>
        <v>2025</v>
      </c>
      <c r="E258" s="3" t="s">
        <v>63</v>
      </c>
      <c r="F258" s="3" t="s">
        <v>18</v>
      </c>
      <c r="G258" s="7">
        <v>70</v>
      </c>
      <c r="H258" s="3" t="s">
        <v>19</v>
      </c>
      <c r="I258" s="3" t="s">
        <v>16</v>
      </c>
    </row>
    <row r="259" spans="1:9" x14ac:dyDescent="0.35">
      <c r="A259" s="14">
        <v>45961</v>
      </c>
      <c r="B259" s="23" t="str">
        <f>TEXT('Brand New Mobile Details Data'!$A259,"MMM")</f>
        <v>Oct</v>
      </c>
      <c r="C259" s="23" t="str">
        <f>TEXT('Brand New Mobile Details Data'!$A259,"dddd")</f>
        <v>Friday</v>
      </c>
      <c r="D259" s="24" t="str">
        <f>TEXT('Brand New Mobile Details Data'!$A259,"yyyy")</f>
        <v>2025</v>
      </c>
      <c r="E259" s="8" t="s">
        <v>63</v>
      </c>
      <c r="F259" s="8" t="s">
        <v>14</v>
      </c>
      <c r="G259" s="9">
        <v>120</v>
      </c>
      <c r="H259" s="8" t="s">
        <v>7</v>
      </c>
      <c r="I259" s="8" t="s">
        <v>8</v>
      </c>
    </row>
    <row r="260" spans="1:9" x14ac:dyDescent="0.35">
      <c r="A260" s="14">
        <v>45962</v>
      </c>
      <c r="B260" s="23" t="str">
        <f>TEXT('Brand New Mobile Details Data'!$A260,"MMM")</f>
        <v>Nov</v>
      </c>
      <c r="C260" s="23" t="str">
        <f>TEXT('Brand New Mobile Details Data'!$A260,"dddd")</f>
        <v>Saturday</v>
      </c>
      <c r="D260" s="24" t="str">
        <f>TEXT('Brand New Mobile Details Data'!$A260,"yyyy")</f>
        <v>2025</v>
      </c>
      <c r="E260" s="8" t="s">
        <v>5</v>
      </c>
      <c r="F260" s="8" t="s">
        <v>28</v>
      </c>
      <c r="G260" s="9">
        <v>80</v>
      </c>
      <c r="H260" s="8" t="s">
        <v>11</v>
      </c>
      <c r="I260" s="8" t="s">
        <v>8</v>
      </c>
    </row>
    <row r="261" spans="1:9" x14ac:dyDescent="0.35">
      <c r="A261" s="14">
        <v>45963</v>
      </c>
      <c r="B261" s="23" t="str">
        <f>TEXT('Brand New Mobile Details Data'!$A261,"MMM")</f>
        <v>Nov</v>
      </c>
      <c r="C261" s="23" t="str">
        <f>TEXT('Brand New Mobile Details Data'!$A261,"dddd")</f>
        <v>Sunday</v>
      </c>
      <c r="D261" s="24" t="str">
        <f>TEXT('Brand New Mobile Details Data'!$A261,"yyyy")</f>
        <v>2025</v>
      </c>
      <c r="E261" s="8" t="s">
        <v>43</v>
      </c>
      <c r="F261" s="8" t="s">
        <v>14</v>
      </c>
      <c r="G261" s="9">
        <v>120</v>
      </c>
      <c r="H261" s="8" t="s">
        <v>11</v>
      </c>
      <c r="I261" s="8" t="s">
        <v>8</v>
      </c>
    </row>
    <row r="262" spans="1:9" x14ac:dyDescent="0.35">
      <c r="A262" s="12">
        <v>45966</v>
      </c>
      <c r="B262" s="21" t="str">
        <f>TEXT('Brand New Mobile Details Data'!$A262,"MMM")</f>
        <v>Nov</v>
      </c>
      <c r="C262" s="21" t="str">
        <f>TEXT('Brand New Mobile Details Data'!$A262,"dddd")</f>
        <v>Wednesday</v>
      </c>
      <c r="D262" s="22" t="str">
        <f>TEXT('Brand New Mobile Details Data'!$A262,"yyyy")</f>
        <v>2025</v>
      </c>
      <c r="E262" s="3" t="s">
        <v>27</v>
      </c>
      <c r="F262" s="3" t="s">
        <v>14</v>
      </c>
      <c r="G262" s="7">
        <v>120</v>
      </c>
      <c r="H262" s="3" t="s">
        <v>7</v>
      </c>
      <c r="I262" s="3" t="s">
        <v>8</v>
      </c>
    </row>
    <row r="263" spans="1:9" x14ac:dyDescent="0.35">
      <c r="A263" s="14">
        <v>45969</v>
      </c>
      <c r="B263" s="23" t="str">
        <f>TEXT('Brand New Mobile Details Data'!$A263,"MMM")</f>
        <v>Nov</v>
      </c>
      <c r="C263" s="23" t="str">
        <f>TEXT('Brand New Mobile Details Data'!$A263,"dddd")</f>
        <v>Saturday</v>
      </c>
      <c r="D263" s="24" t="str">
        <f>TEXT('Brand New Mobile Details Data'!$A263,"yyyy")</f>
        <v>2025</v>
      </c>
      <c r="E263" s="8" t="s">
        <v>49</v>
      </c>
      <c r="F263" s="8" t="s">
        <v>10</v>
      </c>
      <c r="G263" s="9">
        <v>60</v>
      </c>
      <c r="H263" s="8" t="s">
        <v>7</v>
      </c>
      <c r="I263" s="8" t="s">
        <v>12</v>
      </c>
    </row>
    <row r="264" spans="1:9" x14ac:dyDescent="0.35">
      <c r="A264" s="12">
        <v>45970</v>
      </c>
      <c r="B264" s="21" t="str">
        <f>TEXT('Brand New Mobile Details Data'!$A264,"MMM")</f>
        <v>Nov</v>
      </c>
      <c r="C264" s="21" t="str">
        <f>TEXT('Brand New Mobile Details Data'!$A264,"dddd")</f>
        <v>Sunday</v>
      </c>
      <c r="D264" s="22" t="str">
        <f>TEXT('Brand New Mobile Details Data'!$A264,"yyyy")</f>
        <v>2025</v>
      </c>
      <c r="E264" s="3" t="s">
        <v>22</v>
      </c>
      <c r="F264" s="3" t="s">
        <v>14</v>
      </c>
      <c r="G264" s="7">
        <v>120</v>
      </c>
      <c r="H264" s="3" t="s">
        <v>19</v>
      </c>
      <c r="I264" s="3" t="s">
        <v>8</v>
      </c>
    </row>
    <row r="265" spans="1:9" x14ac:dyDescent="0.35">
      <c r="A265" s="14">
        <v>45970</v>
      </c>
      <c r="B265" s="23" t="str">
        <f>TEXT('Brand New Mobile Details Data'!$A265,"MMM")</f>
        <v>Nov</v>
      </c>
      <c r="C265" s="23" t="str">
        <f>TEXT('Brand New Mobile Details Data'!$A265,"dddd")</f>
        <v>Sunday</v>
      </c>
      <c r="D265" s="24" t="str">
        <f>TEXT('Brand New Mobile Details Data'!$A265,"yyyy")</f>
        <v>2025</v>
      </c>
      <c r="E265" s="8" t="s">
        <v>17</v>
      </c>
      <c r="F265" s="8" t="s">
        <v>10</v>
      </c>
      <c r="G265" s="9">
        <v>60</v>
      </c>
      <c r="H265" s="8" t="s">
        <v>19</v>
      </c>
      <c r="I265" s="8" t="s">
        <v>8</v>
      </c>
    </row>
    <row r="266" spans="1:9" x14ac:dyDescent="0.35">
      <c r="A266" s="12">
        <v>45971</v>
      </c>
      <c r="B266" s="21" t="str">
        <f>TEXT('Brand New Mobile Details Data'!$A266,"MMM")</f>
        <v>Nov</v>
      </c>
      <c r="C266" s="21" t="str">
        <f>TEXT('Brand New Mobile Details Data'!$A266,"dddd")</f>
        <v>Monday</v>
      </c>
      <c r="D266" s="22" t="str">
        <f>TEXT('Brand New Mobile Details Data'!$A266,"yyyy")</f>
        <v>2025</v>
      </c>
      <c r="E266" s="3" t="s">
        <v>62</v>
      </c>
      <c r="F266" s="3" t="s">
        <v>6</v>
      </c>
      <c r="G266" s="7">
        <v>150</v>
      </c>
      <c r="H266" s="3" t="s">
        <v>11</v>
      </c>
      <c r="I266" s="3" t="s">
        <v>16</v>
      </c>
    </row>
    <row r="267" spans="1:9" x14ac:dyDescent="0.35">
      <c r="A267" s="14">
        <v>45975</v>
      </c>
      <c r="B267" s="23" t="str">
        <f>TEXT('Brand New Mobile Details Data'!$A267,"MMM")</f>
        <v>Nov</v>
      </c>
      <c r="C267" s="23" t="str">
        <f>TEXT('Brand New Mobile Details Data'!$A267,"dddd")</f>
        <v>Friday</v>
      </c>
      <c r="D267" s="24" t="str">
        <f>TEXT('Brand New Mobile Details Data'!$A267,"yyyy")</f>
        <v>2025</v>
      </c>
      <c r="E267" s="8" t="s">
        <v>62</v>
      </c>
      <c r="F267" s="8" t="s">
        <v>14</v>
      </c>
      <c r="G267" s="9">
        <v>120</v>
      </c>
      <c r="H267" s="8" t="s">
        <v>19</v>
      </c>
      <c r="I267" s="8" t="s">
        <v>8</v>
      </c>
    </row>
    <row r="268" spans="1:9" x14ac:dyDescent="0.35">
      <c r="A268" s="12">
        <v>45976</v>
      </c>
      <c r="B268" s="21" t="str">
        <f>TEXT('Brand New Mobile Details Data'!$A268,"MMM")</f>
        <v>Nov</v>
      </c>
      <c r="C268" s="21" t="str">
        <f>TEXT('Brand New Mobile Details Data'!$A268,"dddd")</f>
        <v>Saturday</v>
      </c>
      <c r="D268" s="22" t="str">
        <f>TEXT('Brand New Mobile Details Data'!$A268,"yyyy")</f>
        <v>2025</v>
      </c>
      <c r="E268" s="3" t="s">
        <v>41</v>
      </c>
      <c r="F268" s="3" t="s">
        <v>6</v>
      </c>
      <c r="G268" s="7">
        <v>150</v>
      </c>
      <c r="H268" s="3" t="s">
        <v>15</v>
      </c>
      <c r="I268" s="3" t="s">
        <v>12</v>
      </c>
    </row>
    <row r="269" spans="1:9" x14ac:dyDescent="0.35">
      <c r="A269" s="12">
        <v>45977</v>
      </c>
      <c r="B269" s="21" t="str">
        <f>TEXT('Brand New Mobile Details Data'!$A269,"MMM")</f>
        <v>Nov</v>
      </c>
      <c r="C269" s="21" t="str">
        <f>TEXT('Brand New Mobile Details Data'!$A269,"dddd")</f>
        <v>Sunday</v>
      </c>
      <c r="D269" s="22" t="str">
        <f>TEXT('Brand New Mobile Details Data'!$A269,"yyyy")</f>
        <v>2025</v>
      </c>
      <c r="E269" s="3" t="s">
        <v>38</v>
      </c>
      <c r="F269" s="3" t="s">
        <v>14</v>
      </c>
      <c r="G269" s="7">
        <v>120</v>
      </c>
      <c r="H269" s="3" t="s">
        <v>15</v>
      </c>
      <c r="I269" s="3" t="s">
        <v>12</v>
      </c>
    </row>
    <row r="270" spans="1:9" x14ac:dyDescent="0.35">
      <c r="A270" s="14">
        <v>45978</v>
      </c>
      <c r="B270" s="23" t="str">
        <f>TEXT('Brand New Mobile Details Data'!$A270,"MMM")</f>
        <v>Nov</v>
      </c>
      <c r="C270" s="23" t="str">
        <f>TEXT('Brand New Mobile Details Data'!$A270,"dddd")</f>
        <v>Monday</v>
      </c>
      <c r="D270" s="24" t="str">
        <f>TEXT('Brand New Mobile Details Data'!$A270,"yyyy")</f>
        <v>2025</v>
      </c>
      <c r="E270" s="8" t="s">
        <v>65</v>
      </c>
      <c r="F270" s="8" t="s">
        <v>18</v>
      </c>
      <c r="G270" s="9">
        <v>70</v>
      </c>
      <c r="H270" s="8" t="s">
        <v>7</v>
      </c>
      <c r="I270" s="8" t="s">
        <v>8</v>
      </c>
    </row>
    <row r="271" spans="1:9" x14ac:dyDescent="0.35">
      <c r="A271" s="12">
        <v>45979</v>
      </c>
      <c r="B271" s="21" t="str">
        <f>TEXT('Brand New Mobile Details Data'!$A271,"MMM")</f>
        <v>Nov</v>
      </c>
      <c r="C271" s="21" t="str">
        <f>TEXT('Brand New Mobile Details Data'!$A271,"dddd")</f>
        <v>Tuesday</v>
      </c>
      <c r="D271" s="22" t="str">
        <f>TEXT('Brand New Mobile Details Data'!$A271,"yyyy")</f>
        <v>2025</v>
      </c>
      <c r="E271" s="3" t="s">
        <v>36</v>
      </c>
      <c r="F271" s="3" t="s">
        <v>14</v>
      </c>
      <c r="G271" s="7">
        <v>120</v>
      </c>
      <c r="H271" s="3" t="s">
        <v>7</v>
      </c>
      <c r="I271" s="3" t="s">
        <v>8</v>
      </c>
    </row>
    <row r="272" spans="1:9" x14ac:dyDescent="0.35">
      <c r="A272" s="12">
        <v>45980</v>
      </c>
      <c r="B272" s="21" t="str">
        <f>TEXT('Brand New Mobile Details Data'!$A272,"MMM")</f>
        <v>Nov</v>
      </c>
      <c r="C272" s="21" t="str">
        <f>TEXT('Brand New Mobile Details Data'!$A272,"dddd")</f>
        <v>Wednesday</v>
      </c>
      <c r="D272" s="22" t="str">
        <f>TEXT('Brand New Mobile Details Data'!$A272,"yyyy")</f>
        <v>2025</v>
      </c>
      <c r="E272" s="3" t="s">
        <v>57</v>
      </c>
      <c r="F272" s="3" t="s">
        <v>18</v>
      </c>
      <c r="G272" s="7">
        <v>70</v>
      </c>
      <c r="H272" s="3" t="s">
        <v>19</v>
      </c>
      <c r="I272" s="3" t="s">
        <v>12</v>
      </c>
    </row>
    <row r="273" spans="1:9" x14ac:dyDescent="0.35">
      <c r="A273" s="14">
        <v>45981</v>
      </c>
      <c r="B273" s="23" t="str">
        <f>TEXT('Brand New Mobile Details Data'!$A273,"MMM")</f>
        <v>Nov</v>
      </c>
      <c r="C273" s="23" t="str">
        <f>TEXT('Brand New Mobile Details Data'!$A273,"dddd")</f>
        <v>Thursday</v>
      </c>
      <c r="D273" s="24" t="str">
        <f>TEXT('Brand New Mobile Details Data'!$A273,"yyyy")</f>
        <v>2025</v>
      </c>
      <c r="E273" s="8" t="s">
        <v>37</v>
      </c>
      <c r="F273" s="8" t="s">
        <v>14</v>
      </c>
      <c r="G273" s="9">
        <v>120</v>
      </c>
      <c r="H273" s="8" t="s">
        <v>11</v>
      </c>
      <c r="I273" s="8" t="s">
        <v>16</v>
      </c>
    </row>
    <row r="274" spans="1:9" x14ac:dyDescent="0.35">
      <c r="A274" s="12">
        <v>45983</v>
      </c>
      <c r="B274" s="21" t="str">
        <f>TEXT('Brand New Mobile Details Data'!$A274,"MMM")</f>
        <v>Nov</v>
      </c>
      <c r="C274" s="21" t="str">
        <f>TEXT('Brand New Mobile Details Data'!$A274,"dddd")</f>
        <v>Saturday</v>
      </c>
      <c r="D274" s="22" t="str">
        <f>TEXT('Brand New Mobile Details Data'!$A274,"yyyy")</f>
        <v>2025</v>
      </c>
      <c r="E274" s="3" t="s">
        <v>22</v>
      </c>
      <c r="F274" s="3" t="s">
        <v>18</v>
      </c>
      <c r="G274" s="7">
        <v>70</v>
      </c>
      <c r="H274" s="3" t="s">
        <v>19</v>
      </c>
      <c r="I274" s="3" t="s">
        <v>12</v>
      </c>
    </row>
    <row r="275" spans="1:9" x14ac:dyDescent="0.35">
      <c r="A275" s="12">
        <v>45983</v>
      </c>
      <c r="B275" s="21" t="str">
        <f>TEXT('Brand New Mobile Details Data'!$A275,"MMM")</f>
        <v>Nov</v>
      </c>
      <c r="C275" s="21" t="str">
        <f>TEXT('Brand New Mobile Details Data'!$A275,"dddd")</f>
        <v>Saturday</v>
      </c>
      <c r="D275" s="22" t="str">
        <f>TEXT('Brand New Mobile Details Data'!$A275,"yyyy")</f>
        <v>2025</v>
      </c>
      <c r="E275" s="3" t="s">
        <v>41</v>
      </c>
      <c r="F275" s="3" t="s">
        <v>18</v>
      </c>
      <c r="G275" s="7">
        <v>70</v>
      </c>
      <c r="H275" s="3" t="s">
        <v>19</v>
      </c>
      <c r="I275" s="3" t="s">
        <v>12</v>
      </c>
    </row>
    <row r="276" spans="1:9" x14ac:dyDescent="0.35">
      <c r="A276" s="12">
        <v>45985</v>
      </c>
      <c r="B276" s="21" t="str">
        <f>TEXT('Brand New Mobile Details Data'!$A276,"MMM")</f>
        <v>Nov</v>
      </c>
      <c r="C276" s="21" t="str">
        <f>TEXT('Brand New Mobile Details Data'!$A276,"dddd")</f>
        <v>Monday</v>
      </c>
      <c r="D276" s="22" t="str">
        <f>TEXT('Brand New Mobile Details Data'!$A276,"yyyy")</f>
        <v>2025</v>
      </c>
      <c r="E276" s="3" t="s">
        <v>30</v>
      </c>
      <c r="F276" s="3" t="s">
        <v>10</v>
      </c>
      <c r="G276" s="7">
        <v>60</v>
      </c>
      <c r="H276" s="3" t="s">
        <v>19</v>
      </c>
      <c r="I276" s="3" t="s">
        <v>8</v>
      </c>
    </row>
    <row r="277" spans="1:9" x14ac:dyDescent="0.35">
      <c r="A277" s="14">
        <v>45986</v>
      </c>
      <c r="B277" s="23" t="str">
        <f>TEXT('Brand New Mobile Details Data'!$A277,"MMM")</f>
        <v>Nov</v>
      </c>
      <c r="C277" s="23" t="str">
        <f>TEXT('Brand New Mobile Details Data'!$A277,"dddd")</f>
        <v>Tuesday</v>
      </c>
      <c r="D277" s="24" t="str">
        <f>TEXT('Brand New Mobile Details Data'!$A277,"yyyy")</f>
        <v>2025</v>
      </c>
      <c r="E277" s="8" t="s">
        <v>55</v>
      </c>
      <c r="F277" s="8" t="s">
        <v>6</v>
      </c>
      <c r="G277" s="9">
        <v>150</v>
      </c>
      <c r="H277" s="8" t="s">
        <v>15</v>
      </c>
      <c r="I277" s="8" t="s">
        <v>16</v>
      </c>
    </row>
    <row r="278" spans="1:9" x14ac:dyDescent="0.35">
      <c r="A278" s="12">
        <v>45986</v>
      </c>
      <c r="B278" s="21" t="str">
        <f>TEXT('Brand New Mobile Details Data'!$A278,"MMM")</f>
        <v>Nov</v>
      </c>
      <c r="C278" s="21" t="str">
        <f>TEXT('Brand New Mobile Details Data'!$A278,"dddd")</f>
        <v>Tuesday</v>
      </c>
      <c r="D278" s="22" t="str">
        <f>TEXT('Brand New Mobile Details Data'!$A278,"yyyy")</f>
        <v>2025</v>
      </c>
      <c r="E278" s="3" t="s">
        <v>61</v>
      </c>
      <c r="F278" s="3" t="s">
        <v>6</v>
      </c>
      <c r="G278" s="7">
        <v>150</v>
      </c>
      <c r="H278" s="3" t="s">
        <v>11</v>
      </c>
      <c r="I278" s="3" t="s">
        <v>8</v>
      </c>
    </row>
    <row r="279" spans="1:9" x14ac:dyDescent="0.35">
      <c r="A279" s="14">
        <v>45988</v>
      </c>
      <c r="B279" s="23" t="str">
        <f>TEXT('Brand New Mobile Details Data'!$A279,"MMM")</f>
        <v>Nov</v>
      </c>
      <c r="C279" s="23" t="str">
        <f>TEXT('Brand New Mobile Details Data'!$A279,"dddd")</f>
        <v>Thursday</v>
      </c>
      <c r="D279" s="24" t="str">
        <f>TEXT('Brand New Mobile Details Data'!$A279,"yyyy")</f>
        <v>2025</v>
      </c>
      <c r="E279" s="8" t="s">
        <v>62</v>
      </c>
      <c r="F279" s="8" t="s">
        <v>14</v>
      </c>
      <c r="G279" s="9">
        <v>120</v>
      </c>
      <c r="H279" s="8" t="s">
        <v>15</v>
      </c>
      <c r="I279" s="8" t="s">
        <v>12</v>
      </c>
    </row>
    <row r="280" spans="1:9" x14ac:dyDescent="0.35">
      <c r="A280" s="12">
        <v>45990</v>
      </c>
      <c r="B280" s="21" t="str">
        <f>TEXT('Brand New Mobile Details Data'!$A280,"MMM")</f>
        <v>Nov</v>
      </c>
      <c r="C280" s="21" t="str">
        <f>TEXT('Brand New Mobile Details Data'!$A280,"dddd")</f>
        <v>Saturday</v>
      </c>
      <c r="D280" s="22" t="str">
        <f>TEXT('Brand New Mobile Details Data'!$A280,"yyyy")</f>
        <v>2025</v>
      </c>
      <c r="E280" s="3" t="s">
        <v>57</v>
      </c>
      <c r="F280" s="3" t="s">
        <v>14</v>
      </c>
      <c r="G280" s="7">
        <v>120</v>
      </c>
      <c r="H280" s="3" t="s">
        <v>7</v>
      </c>
      <c r="I280" s="3" t="s">
        <v>16</v>
      </c>
    </row>
    <row r="281" spans="1:9" x14ac:dyDescent="0.35">
      <c r="A281" s="12">
        <v>45992</v>
      </c>
      <c r="B281" s="21" t="str">
        <f>TEXT('Brand New Mobile Details Data'!$A281,"MMM")</f>
        <v>Dec</v>
      </c>
      <c r="C281" s="21" t="str">
        <f>TEXT('Brand New Mobile Details Data'!$A281,"dddd")</f>
        <v>Monday</v>
      </c>
      <c r="D281" s="22" t="str">
        <f>TEXT('Brand New Mobile Details Data'!$A281,"yyyy")</f>
        <v>2025</v>
      </c>
      <c r="E281" s="3" t="s">
        <v>47</v>
      </c>
      <c r="F281" s="3" t="s">
        <v>18</v>
      </c>
      <c r="G281" s="7">
        <v>70</v>
      </c>
      <c r="H281" s="3" t="s">
        <v>15</v>
      </c>
      <c r="I281" s="3" t="s">
        <v>16</v>
      </c>
    </row>
    <row r="282" spans="1:9" x14ac:dyDescent="0.35">
      <c r="A282" s="14">
        <v>45993</v>
      </c>
      <c r="B282" s="23" t="str">
        <f>TEXT('Brand New Mobile Details Data'!$A282,"MMM")</f>
        <v>Dec</v>
      </c>
      <c r="C282" s="23" t="str">
        <f>TEXT('Brand New Mobile Details Data'!$A282,"dddd")</f>
        <v>Tuesday</v>
      </c>
      <c r="D282" s="24" t="str">
        <f>TEXT('Brand New Mobile Details Data'!$A282,"yyyy")</f>
        <v>2025</v>
      </c>
      <c r="E282" s="8" t="s">
        <v>24</v>
      </c>
      <c r="F282" s="8" t="s">
        <v>14</v>
      </c>
      <c r="G282" s="9">
        <v>120</v>
      </c>
      <c r="H282" s="8" t="s">
        <v>11</v>
      </c>
      <c r="I282" s="8" t="s">
        <v>8</v>
      </c>
    </row>
    <row r="283" spans="1:9" x14ac:dyDescent="0.35">
      <c r="A283" s="12">
        <v>45993</v>
      </c>
      <c r="B283" s="21" t="str">
        <f>TEXT('Brand New Mobile Details Data'!$A283,"MMM")</f>
        <v>Dec</v>
      </c>
      <c r="C283" s="21" t="str">
        <f>TEXT('Brand New Mobile Details Data'!$A283,"dddd")</f>
        <v>Tuesday</v>
      </c>
      <c r="D283" s="22" t="str">
        <f>TEXT('Brand New Mobile Details Data'!$A283,"yyyy")</f>
        <v>2025</v>
      </c>
      <c r="E283" s="3" t="s">
        <v>20</v>
      </c>
      <c r="F283" s="3" t="s">
        <v>6</v>
      </c>
      <c r="G283" s="7">
        <v>150</v>
      </c>
      <c r="H283" s="3" t="s">
        <v>21</v>
      </c>
      <c r="I283" s="3" t="s">
        <v>8</v>
      </c>
    </row>
    <row r="284" spans="1:9" x14ac:dyDescent="0.35">
      <c r="A284" s="14">
        <v>45995</v>
      </c>
      <c r="B284" s="23" t="str">
        <f>TEXT('Brand New Mobile Details Data'!$A284,"MMM")</f>
        <v>Dec</v>
      </c>
      <c r="C284" s="23" t="str">
        <f>TEXT('Brand New Mobile Details Data'!$A284,"dddd")</f>
        <v>Thursday</v>
      </c>
      <c r="D284" s="24" t="str">
        <f>TEXT('Brand New Mobile Details Data'!$A284,"yyyy")</f>
        <v>2025</v>
      </c>
      <c r="E284" s="8" t="s">
        <v>41</v>
      </c>
      <c r="F284" s="8" t="s">
        <v>18</v>
      </c>
      <c r="G284" s="9">
        <v>70</v>
      </c>
      <c r="H284" s="8" t="s">
        <v>21</v>
      </c>
      <c r="I284" s="8" t="s">
        <v>12</v>
      </c>
    </row>
    <row r="285" spans="1:9" x14ac:dyDescent="0.35">
      <c r="A285" s="12">
        <v>45997</v>
      </c>
      <c r="B285" s="21" t="str">
        <f>TEXT('Brand New Mobile Details Data'!$A285,"MMM")</f>
        <v>Dec</v>
      </c>
      <c r="C285" s="21" t="str">
        <f>TEXT('Brand New Mobile Details Data'!$A285,"dddd")</f>
        <v>Saturday</v>
      </c>
      <c r="D285" s="22" t="str">
        <f>TEXT('Brand New Mobile Details Data'!$A285,"yyyy")</f>
        <v>2025</v>
      </c>
      <c r="E285" s="3" t="s">
        <v>26</v>
      </c>
      <c r="F285" s="3" t="s">
        <v>14</v>
      </c>
      <c r="G285" s="7">
        <v>120</v>
      </c>
      <c r="H285" s="3" t="s">
        <v>7</v>
      </c>
      <c r="I285" s="3" t="s">
        <v>16</v>
      </c>
    </row>
    <row r="286" spans="1:9" x14ac:dyDescent="0.35">
      <c r="A286" s="12">
        <v>45998</v>
      </c>
      <c r="B286" s="21" t="str">
        <f>TEXT('Brand New Mobile Details Data'!$A286,"MMM")</f>
        <v>Dec</v>
      </c>
      <c r="C286" s="21" t="str">
        <f>TEXT('Brand New Mobile Details Data'!$A286,"dddd")</f>
        <v>Sunday</v>
      </c>
      <c r="D286" s="22" t="str">
        <f>TEXT('Brand New Mobile Details Data'!$A286,"yyyy")</f>
        <v>2025</v>
      </c>
      <c r="E286" s="3" t="s">
        <v>44</v>
      </c>
      <c r="F286" s="3" t="s">
        <v>14</v>
      </c>
      <c r="G286" s="7">
        <v>120</v>
      </c>
      <c r="H286" s="3" t="s">
        <v>21</v>
      </c>
      <c r="I286" s="3" t="s">
        <v>8</v>
      </c>
    </row>
    <row r="287" spans="1:9" x14ac:dyDescent="0.35">
      <c r="A287" s="12">
        <v>45998</v>
      </c>
      <c r="B287" s="21" t="str">
        <f>TEXT('Brand New Mobile Details Data'!$A287,"MMM")</f>
        <v>Dec</v>
      </c>
      <c r="C287" s="21" t="str">
        <f>TEXT('Brand New Mobile Details Data'!$A287,"dddd")</f>
        <v>Sunday</v>
      </c>
      <c r="D287" s="22" t="str">
        <f>TEXT('Brand New Mobile Details Data'!$A287,"yyyy")</f>
        <v>2025</v>
      </c>
      <c r="E287" s="3" t="s">
        <v>65</v>
      </c>
      <c r="F287" s="3" t="s">
        <v>18</v>
      </c>
      <c r="G287" s="7">
        <v>70</v>
      </c>
      <c r="H287" s="3" t="s">
        <v>15</v>
      </c>
      <c r="I287" s="3" t="s">
        <v>8</v>
      </c>
    </row>
    <row r="288" spans="1:9" x14ac:dyDescent="0.35">
      <c r="A288" s="14">
        <v>45999</v>
      </c>
      <c r="B288" s="23" t="str">
        <f>TEXT('Brand New Mobile Details Data'!$A288,"MMM")</f>
        <v>Dec</v>
      </c>
      <c r="C288" s="23" t="str">
        <f>TEXT('Brand New Mobile Details Data'!$A288,"dddd")</f>
        <v>Monday</v>
      </c>
      <c r="D288" s="24" t="str">
        <f>TEXT('Brand New Mobile Details Data'!$A288,"yyyy")</f>
        <v>2025</v>
      </c>
      <c r="E288" s="8" t="s">
        <v>61</v>
      </c>
      <c r="F288" s="8" t="s">
        <v>18</v>
      </c>
      <c r="G288" s="9">
        <v>70</v>
      </c>
      <c r="H288" s="8" t="s">
        <v>21</v>
      </c>
      <c r="I288" s="8" t="s">
        <v>8</v>
      </c>
    </row>
    <row r="289" spans="1:9" x14ac:dyDescent="0.35">
      <c r="A289" s="12">
        <v>45999</v>
      </c>
      <c r="B289" s="21" t="str">
        <f>TEXT('Brand New Mobile Details Data'!$A289,"MMM")</f>
        <v>Dec</v>
      </c>
      <c r="C289" s="21" t="str">
        <f>TEXT('Brand New Mobile Details Data'!$A289,"dddd")</f>
        <v>Monday</v>
      </c>
      <c r="D289" s="22" t="str">
        <f>TEXT('Brand New Mobile Details Data'!$A289,"yyyy")</f>
        <v>2025</v>
      </c>
      <c r="E289" s="3" t="s">
        <v>56</v>
      </c>
      <c r="F289" s="3" t="s">
        <v>18</v>
      </c>
      <c r="G289" s="7">
        <v>70</v>
      </c>
      <c r="H289" s="3" t="s">
        <v>11</v>
      </c>
      <c r="I289" s="3" t="s">
        <v>8</v>
      </c>
    </row>
    <row r="290" spans="1:9" x14ac:dyDescent="0.35">
      <c r="A290" s="12">
        <v>46003</v>
      </c>
      <c r="B290" s="21" t="str">
        <f>TEXT('Brand New Mobile Details Data'!$A290,"MMM")</f>
        <v>Dec</v>
      </c>
      <c r="C290" s="21" t="str">
        <f>TEXT('Brand New Mobile Details Data'!$A290,"dddd")</f>
        <v>Friday</v>
      </c>
      <c r="D290" s="22" t="str">
        <f>TEXT('Brand New Mobile Details Data'!$A290,"yyyy")</f>
        <v>2025</v>
      </c>
      <c r="E290" s="3" t="s">
        <v>55</v>
      </c>
      <c r="F290" s="3" t="s">
        <v>18</v>
      </c>
      <c r="G290" s="7">
        <v>70</v>
      </c>
      <c r="H290" s="3" t="s">
        <v>19</v>
      </c>
      <c r="I290" s="3" t="s">
        <v>16</v>
      </c>
    </row>
    <row r="291" spans="1:9" x14ac:dyDescent="0.35">
      <c r="A291" s="12">
        <v>46008</v>
      </c>
      <c r="B291" s="21" t="str">
        <f>TEXT('Brand New Mobile Details Data'!$A291,"MMM")</f>
        <v>Dec</v>
      </c>
      <c r="C291" s="21" t="str">
        <f>TEXT('Brand New Mobile Details Data'!$A291,"dddd")</f>
        <v>Wednesday</v>
      </c>
      <c r="D291" s="22" t="str">
        <f>TEXT('Brand New Mobile Details Data'!$A291,"yyyy")</f>
        <v>2025</v>
      </c>
      <c r="E291" s="3" t="s">
        <v>52</v>
      </c>
      <c r="F291" s="3" t="s">
        <v>18</v>
      </c>
      <c r="G291" s="7">
        <v>70</v>
      </c>
      <c r="H291" s="3" t="s">
        <v>19</v>
      </c>
      <c r="I291" s="3" t="s">
        <v>8</v>
      </c>
    </row>
    <row r="292" spans="1:9" x14ac:dyDescent="0.35">
      <c r="A292" s="14">
        <v>46008</v>
      </c>
      <c r="B292" s="23" t="str">
        <f>TEXT('Brand New Mobile Details Data'!$A292,"MMM")</f>
        <v>Dec</v>
      </c>
      <c r="C292" s="23" t="str">
        <f>TEXT('Brand New Mobile Details Data'!$A292,"dddd")</f>
        <v>Wednesday</v>
      </c>
      <c r="D292" s="24" t="str">
        <f>TEXT('Brand New Mobile Details Data'!$A292,"yyyy")</f>
        <v>2025</v>
      </c>
      <c r="E292" s="8" t="s">
        <v>20</v>
      </c>
      <c r="F292" s="8" t="s">
        <v>18</v>
      </c>
      <c r="G292" s="9">
        <v>70</v>
      </c>
      <c r="H292" s="8" t="s">
        <v>15</v>
      </c>
      <c r="I292" s="8" t="s">
        <v>12</v>
      </c>
    </row>
    <row r="293" spans="1:9" x14ac:dyDescent="0.35">
      <c r="A293" s="12">
        <v>46010</v>
      </c>
      <c r="B293" s="21" t="str">
        <f>TEXT('Brand New Mobile Details Data'!$A293,"MMM")</f>
        <v>Dec</v>
      </c>
      <c r="C293" s="21" t="str">
        <f>TEXT('Brand New Mobile Details Data'!$A293,"dddd")</f>
        <v>Friday</v>
      </c>
      <c r="D293" s="22" t="str">
        <f>TEXT('Brand New Mobile Details Data'!$A293,"yyyy")</f>
        <v>2025</v>
      </c>
      <c r="E293" s="3" t="s">
        <v>50</v>
      </c>
      <c r="F293" s="3" t="s">
        <v>10</v>
      </c>
      <c r="G293" s="7">
        <v>60</v>
      </c>
      <c r="H293" s="3" t="s">
        <v>21</v>
      </c>
      <c r="I293" s="3" t="s">
        <v>12</v>
      </c>
    </row>
    <row r="294" spans="1:9" x14ac:dyDescent="0.35">
      <c r="A294" s="14">
        <v>46013</v>
      </c>
      <c r="B294" s="23" t="str">
        <f>TEXT('Brand New Mobile Details Data'!$A294,"MMM")</f>
        <v>Dec</v>
      </c>
      <c r="C294" s="23" t="str">
        <f>TEXT('Brand New Mobile Details Data'!$A294,"dddd")</f>
        <v>Monday</v>
      </c>
      <c r="D294" s="24" t="str">
        <f>TEXT('Brand New Mobile Details Data'!$A294,"yyyy")</f>
        <v>2025</v>
      </c>
      <c r="E294" s="8" t="s">
        <v>44</v>
      </c>
      <c r="F294" s="8" t="s">
        <v>14</v>
      </c>
      <c r="G294" s="9">
        <v>120</v>
      </c>
      <c r="H294" s="8" t="s">
        <v>11</v>
      </c>
      <c r="I294" s="8" t="s">
        <v>12</v>
      </c>
    </row>
    <row r="295" spans="1:9" x14ac:dyDescent="0.35">
      <c r="A295" s="12">
        <v>46015</v>
      </c>
      <c r="B295" s="21" t="str">
        <f>TEXT('Brand New Mobile Details Data'!$A295,"MMM")</f>
        <v>Dec</v>
      </c>
      <c r="C295" s="21" t="str">
        <f>TEXT('Brand New Mobile Details Data'!$A295,"dddd")</f>
        <v>Wednesday</v>
      </c>
      <c r="D295" s="22" t="str">
        <f>TEXT('Brand New Mobile Details Data'!$A295,"yyyy")</f>
        <v>2025</v>
      </c>
      <c r="E295" s="3" t="s">
        <v>29</v>
      </c>
      <c r="F295" s="3" t="s">
        <v>18</v>
      </c>
      <c r="G295" s="7">
        <v>70</v>
      </c>
      <c r="H295" s="3" t="s">
        <v>15</v>
      </c>
      <c r="I295" s="3" t="s">
        <v>12</v>
      </c>
    </row>
    <row r="296" spans="1:9" x14ac:dyDescent="0.35">
      <c r="A296" s="12">
        <v>46016</v>
      </c>
      <c r="B296" s="21" t="str">
        <f>TEXT('Brand New Mobile Details Data'!$A296,"MMM")</f>
        <v>Dec</v>
      </c>
      <c r="C296" s="21" t="str">
        <f>TEXT('Brand New Mobile Details Data'!$A296,"dddd")</f>
        <v>Thursday</v>
      </c>
      <c r="D296" s="22" t="str">
        <f>TEXT('Brand New Mobile Details Data'!$A296,"yyyy")</f>
        <v>2025</v>
      </c>
      <c r="E296" s="3" t="s">
        <v>9</v>
      </c>
      <c r="F296" s="3" t="s">
        <v>10</v>
      </c>
      <c r="G296" s="7">
        <v>60</v>
      </c>
      <c r="H296" s="3" t="s">
        <v>11</v>
      </c>
      <c r="I296" s="3" t="s">
        <v>12</v>
      </c>
    </row>
    <row r="297" spans="1:9" x14ac:dyDescent="0.35">
      <c r="A297" s="14">
        <v>46016</v>
      </c>
      <c r="B297" s="23" t="str">
        <f>TEXT('Brand New Mobile Details Data'!$A297,"MMM")</f>
        <v>Dec</v>
      </c>
      <c r="C297" s="23" t="str">
        <f>TEXT('Brand New Mobile Details Data'!$A297,"dddd")</f>
        <v>Thursday</v>
      </c>
      <c r="D297" s="24" t="str">
        <f>TEXT('Brand New Mobile Details Data'!$A297,"yyyy")</f>
        <v>2025</v>
      </c>
      <c r="E297" s="8" t="s">
        <v>29</v>
      </c>
      <c r="F297" s="8" t="s">
        <v>6</v>
      </c>
      <c r="G297" s="9">
        <v>150</v>
      </c>
      <c r="H297" s="8" t="s">
        <v>7</v>
      </c>
      <c r="I297" s="8" t="s">
        <v>16</v>
      </c>
    </row>
    <row r="298" spans="1:9" x14ac:dyDescent="0.35">
      <c r="A298" s="14">
        <v>46016</v>
      </c>
      <c r="B298" s="23" t="str">
        <f>TEXT('Brand New Mobile Details Data'!$A298,"MMM")</f>
        <v>Dec</v>
      </c>
      <c r="C298" s="23" t="str">
        <f>TEXT('Brand New Mobile Details Data'!$A298,"dddd")</f>
        <v>Thursday</v>
      </c>
      <c r="D298" s="24" t="str">
        <f>TEXT('Brand New Mobile Details Data'!$A298,"yyyy")</f>
        <v>2025</v>
      </c>
      <c r="E298" s="8" t="s">
        <v>60</v>
      </c>
      <c r="F298" s="8" t="s">
        <v>6</v>
      </c>
      <c r="G298" s="9">
        <v>150</v>
      </c>
      <c r="H298" s="8" t="s">
        <v>11</v>
      </c>
      <c r="I298" s="8" t="s">
        <v>16</v>
      </c>
    </row>
    <row r="299" spans="1:9" x14ac:dyDescent="0.35">
      <c r="A299" s="12">
        <v>46017</v>
      </c>
      <c r="B299" s="21" t="str">
        <f>TEXT('Brand New Mobile Details Data'!$A299,"MMM")</f>
        <v>Dec</v>
      </c>
      <c r="C299" s="21" t="str">
        <f>TEXT('Brand New Mobile Details Data'!$A299,"dddd")</f>
        <v>Friday</v>
      </c>
      <c r="D299" s="22" t="str">
        <f>TEXT('Brand New Mobile Details Data'!$A299,"yyyy")</f>
        <v>2025</v>
      </c>
      <c r="E299" s="3" t="s">
        <v>31</v>
      </c>
      <c r="F299" s="3" t="s">
        <v>14</v>
      </c>
      <c r="G299" s="7">
        <v>120</v>
      </c>
      <c r="H299" s="3" t="s">
        <v>21</v>
      </c>
      <c r="I299" s="3" t="s">
        <v>16</v>
      </c>
    </row>
    <row r="300" spans="1:9" x14ac:dyDescent="0.35">
      <c r="A300" s="14">
        <v>46019</v>
      </c>
      <c r="B300" s="23" t="str">
        <f>TEXT('Brand New Mobile Details Data'!$A300,"MMM")</f>
        <v>Dec</v>
      </c>
      <c r="C300" s="23" t="str">
        <f>TEXT('Brand New Mobile Details Data'!$A300,"dddd")</f>
        <v>Sunday</v>
      </c>
      <c r="D300" s="24" t="str">
        <f>TEXT('Brand New Mobile Details Data'!$A300,"yyyy")</f>
        <v>2025</v>
      </c>
      <c r="E300" s="8" t="s">
        <v>55</v>
      </c>
      <c r="F300" s="8" t="s">
        <v>10</v>
      </c>
      <c r="G300" s="9">
        <v>60</v>
      </c>
      <c r="H300" s="8" t="s">
        <v>7</v>
      </c>
      <c r="I300" s="8" t="s">
        <v>12</v>
      </c>
    </row>
    <row r="301" spans="1:9" x14ac:dyDescent="0.35">
      <c r="A301" s="14">
        <v>46021</v>
      </c>
      <c r="B301" s="23" t="str">
        <f>TEXT('Brand New Mobile Details Data'!$A301,"MMM")</f>
        <v>Dec</v>
      </c>
      <c r="C301" s="23" t="str">
        <f>TEXT('Brand New Mobile Details Data'!$A301,"dddd")</f>
        <v>Tuesday</v>
      </c>
      <c r="D301" s="24" t="str">
        <f>TEXT('Brand New Mobile Details Data'!$A301,"yyyy")</f>
        <v>2025</v>
      </c>
      <c r="E301" s="8" t="s">
        <v>37</v>
      </c>
      <c r="F301" s="8" t="s">
        <v>14</v>
      </c>
      <c r="G301" s="9">
        <v>120</v>
      </c>
      <c r="H301" s="8" t="s">
        <v>21</v>
      </c>
      <c r="I301" s="8" t="s">
        <v>12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0C80F-7183-4FFE-8671-5558CF999BE0}">
  <dimension ref="A2:S149"/>
  <sheetViews>
    <sheetView tabSelected="1" zoomScale="64" zoomScaleNormal="64" workbookViewId="0">
      <selection activeCell="S13" sqref="S13"/>
    </sheetView>
  </sheetViews>
  <sheetFormatPr defaultRowHeight="14.5" x14ac:dyDescent="0.35"/>
  <cols>
    <col min="1" max="1" width="12.6328125" bestFit="1" customWidth="1"/>
    <col min="2" max="2" width="11.453125" bestFit="1" customWidth="1"/>
    <col min="3" max="3" width="9.81640625" bestFit="1" customWidth="1"/>
    <col min="4" max="4" width="19.6328125" bestFit="1" customWidth="1"/>
    <col min="5" max="5" width="11.453125" bestFit="1" customWidth="1"/>
    <col min="7" max="7" width="15" bestFit="1" customWidth="1"/>
    <col min="8" max="8" width="24.08984375" bestFit="1" customWidth="1"/>
    <col min="9" max="9" width="11.453125" bestFit="1" customWidth="1"/>
    <col min="10" max="10" width="14.81640625" bestFit="1" customWidth="1"/>
    <col min="11" max="11" width="15.81640625" bestFit="1" customWidth="1"/>
    <col min="13" max="13" width="12.90625" bestFit="1" customWidth="1"/>
    <col min="14" max="15" width="15.81640625" bestFit="1" customWidth="1"/>
    <col min="16" max="16" width="21" bestFit="1" customWidth="1"/>
    <col min="18" max="18" width="12.6328125" bestFit="1" customWidth="1"/>
    <col min="19" max="19" width="21" bestFit="1" customWidth="1"/>
  </cols>
  <sheetData>
    <row r="2" spans="1:19" ht="22.5" x14ac:dyDescent="0.45">
      <c r="A2" s="30" t="s">
        <v>85</v>
      </c>
      <c r="B2" s="30"/>
      <c r="C2" s="30"/>
      <c r="D2" s="30"/>
      <c r="E2" s="30"/>
      <c r="F2" s="30"/>
      <c r="G2" s="30"/>
      <c r="H2" s="30"/>
      <c r="I2" s="30"/>
      <c r="J2" s="25"/>
      <c r="K2" s="25"/>
      <c r="L2" s="25"/>
      <c r="M2" s="25"/>
      <c r="N2" s="25"/>
      <c r="O2" s="25"/>
      <c r="P2" s="25"/>
      <c r="Q2" s="25"/>
      <c r="R2" s="25"/>
      <c r="S2" s="25"/>
    </row>
    <row r="3" spans="1:19" ht="19.5" customHeight="1" x14ac:dyDescent="0.45">
      <c r="A3" s="31" t="s">
        <v>86</v>
      </c>
      <c r="B3" s="31"/>
      <c r="C3" s="31"/>
      <c r="D3" s="31"/>
      <c r="E3" s="31"/>
      <c r="F3" s="31"/>
      <c r="G3" s="31"/>
      <c r="H3" s="31"/>
      <c r="I3" s="31"/>
      <c r="J3" s="26"/>
      <c r="K3" s="26"/>
      <c r="L3" s="26"/>
      <c r="M3" s="26"/>
      <c r="N3" s="26"/>
      <c r="O3" s="26"/>
      <c r="P3" s="26"/>
      <c r="Q3" s="26"/>
      <c r="R3" s="26"/>
      <c r="S3" s="26"/>
    </row>
    <row r="4" spans="1:19" ht="14.5" customHeight="1" thickBot="1" x14ac:dyDescent="0.45">
      <c r="A4" s="29"/>
      <c r="B4" s="29"/>
      <c r="C4" s="29"/>
      <c r="D4" s="29"/>
      <c r="E4" s="29"/>
      <c r="F4" s="29"/>
    </row>
    <row r="5" spans="1:19" ht="19" thickTop="1" x14ac:dyDescent="0.45">
      <c r="A5" s="27"/>
      <c r="B5" s="27"/>
      <c r="C5" s="2"/>
      <c r="D5" s="2"/>
    </row>
    <row r="6" spans="1:19" ht="21" x14ac:dyDescent="0.5">
      <c r="A6" s="28"/>
    </row>
    <row r="7" spans="1:19" ht="21" x14ac:dyDescent="0.5">
      <c r="A7" s="28"/>
    </row>
    <row r="8" spans="1:19" ht="21" x14ac:dyDescent="0.5">
      <c r="A8" s="28"/>
    </row>
    <row r="52" spans="7:7" ht="15.5" x14ac:dyDescent="0.35">
      <c r="G52" s="32"/>
    </row>
    <row r="100" spans="2:19" x14ac:dyDescent="0.35">
      <c r="B100" s="15" t="s">
        <v>70</v>
      </c>
      <c r="C100" t="s">
        <v>84</v>
      </c>
      <c r="E100" s="15" t="s">
        <v>70</v>
      </c>
      <c r="F100" t="s">
        <v>84</v>
      </c>
      <c r="H100" s="15" t="s">
        <v>70</v>
      </c>
      <c r="I100" t="s">
        <v>84</v>
      </c>
    </row>
    <row r="101" spans="2:19" x14ac:dyDescent="0.35">
      <c r="B101" s="16" t="s">
        <v>37</v>
      </c>
      <c r="C101" s="2">
        <v>1430</v>
      </c>
      <c r="E101" s="16" t="s">
        <v>71</v>
      </c>
      <c r="F101" s="2">
        <v>1990</v>
      </c>
      <c r="H101" s="16" t="s">
        <v>28</v>
      </c>
      <c r="I101" s="2">
        <v>4560</v>
      </c>
      <c r="K101" s="15" t="s">
        <v>70</v>
      </c>
      <c r="L101" t="s">
        <v>84</v>
      </c>
      <c r="R101" s="15" t="s">
        <v>70</v>
      </c>
      <c r="S101" t="s">
        <v>87</v>
      </c>
    </row>
    <row r="102" spans="2:19" x14ac:dyDescent="0.35">
      <c r="B102" s="16" t="s">
        <v>31</v>
      </c>
      <c r="C102" s="2">
        <v>1140</v>
      </c>
      <c r="E102" s="16" t="s">
        <v>72</v>
      </c>
      <c r="F102" s="2">
        <v>2600</v>
      </c>
      <c r="H102" s="16" t="s">
        <v>10</v>
      </c>
      <c r="I102" s="2">
        <v>3240</v>
      </c>
      <c r="K102" s="16" t="s">
        <v>7</v>
      </c>
      <c r="L102" s="2">
        <v>5980</v>
      </c>
      <c r="R102" s="16" t="s">
        <v>12</v>
      </c>
      <c r="S102">
        <v>101</v>
      </c>
    </row>
    <row r="103" spans="2:19" x14ac:dyDescent="0.35">
      <c r="B103" s="16" t="s">
        <v>20</v>
      </c>
      <c r="C103" s="2">
        <v>1090</v>
      </c>
      <c r="E103" s="16" t="s">
        <v>73</v>
      </c>
      <c r="F103" s="2">
        <v>2180</v>
      </c>
      <c r="H103" s="16" t="s">
        <v>6</v>
      </c>
      <c r="I103" s="2">
        <v>9000</v>
      </c>
      <c r="K103" s="16" t="s">
        <v>19</v>
      </c>
      <c r="L103" s="2">
        <v>6430</v>
      </c>
      <c r="R103" s="16" t="s">
        <v>16</v>
      </c>
      <c r="S103">
        <v>111</v>
      </c>
    </row>
    <row r="104" spans="2:19" x14ac:dyDescent="0.35">
      <c r="B104" s="16" t="s">
        <v>43</v>
      </c>
      <c r="C104" s="2">
        <v>1070</v>
      </c>
      <c r="E104" s="16" t="s">
        <v>74</v>
      </c>
      <c r="F104" s="2">
        <v>1910</v>
      </c>
      <c r="H104" s="16" t="s">
        <v>18</v>
      </c>
      <c r="I104" s="2">
        <v>4480</v>
      </c>
      <c r="K104" s="16" t="s">
        <v>11</v>
      </c>
      <c r="L104" s="2">
        <v>5390</v>
      </c>
      <c r="R104" s="16" t="s">
        <v>8</v>
      </c>
      <c r="S104">
        <v>88</v>
      </c>
    </row>
    <row r="105" spans="2:19" x14ac:dyDescent="0.35">
      <c r="B105" s="16" t="s">
        <v>40</v>
      </c>
      <c r="C105" s="2">
        <v>1040</v>
      </c>
      <c r="E105" s="16" t="s">
        <v>75</v>
      </c>
      <c r="F105" s="2">
        <v>2750</v>
      </c>
      <c r="H105" s="16" t="s">
        <v>14</v>
      </c>
      <c r="I105" s="2">
        <v>7800</v>
      </c>
      <c r="K105" s="16" t="s">
        <v>21</v>
      </c>
      <c r="L105" s="2">
        <v>5290</v>
      </c>
      <c r="R105" s="16" t="s">
        <v>83</v>
      </c>
      <c r="S105">
        <v>300</v>
      </c>
    </row>
    <row r="106" spans="2:19" x14ac:dyDescent="0.35">
      <c r="B106" s="16" t="s">
        <v>41</v>
      </c>
      <c r="C106" s="2">
        <v>920</v>
      </c>
      <c r="E106" s="16" t="s">
        <v>76</v>
      </c>
      <c r="F106" s="2">
        <v>3690</v>
      </c>
      <c r="H106" s="16" t="s">
        <v>83</v>
      </c>
      <c r="I106" s="2">
        <v>29080</v>
      </c>
      <c r="K106" s="16" t="s">
        <v>15</v>
      </c>
      <c r="L106" s="2">
        <v>5990</v>
      </c>
    </row>
    <row r="107" spans="2:19" x14ac:dyDescent="0.35">
      <c r="B107" s="16" t="s">
        <v>58</v>
      </c>
      <c r="C107" s="2">
        <v>890</v>
      </c>
      <c r="E107" s="16" t="s">
        <v>77</v>
      </c>
      <c r="F107" s="2">
        <v>3700</v>
      </c>
      <c r="K107" s="16" t="s">
        <v>83</v>
      </c>
      <c r="L107" s="2">
        <v>29080</v>
      </c>
    </row>
    <row r="108" spans="2:19" x14ac:dyDescent="0.35">
      <c r="B108" s="16" t="s">
        <v>32</v>
      </c>
      <c r="C108" s="2">
        <v>880</v>
      </c>
      <c r="E108" s="16" t="s">
        <v>78</v>
      </c>
      <c r="F108" s="2">
        <v>2030</v>
      </c>
    </row>
    <row r="109" spans="2:19" x14ac:dyDescent="0.35">
      <c r="B109" s="16" t="s">
        <v>48</v>
      </c>
      <c r="C109" s="2">
        <v>860</v>
      </c>
      <c r="E109" s="16" t="s">
        <v>79</v>
      </c>
      <c r="F109" s="2">
        <v>1790</v>
      </c>
      <c r="H109" s="15" t="s">
        <v>70</v>
      </c>
      <c r="I109" t="s">
        <v>84</v>
      </c>
      <c r="J109" t="s">
        <v>88</v>
      </c>
      <c r="K109" t="s">
        <v>89</v>
      </c>
    </row>
    <row r="110" spans="2:19" x14ac:dyDescent="0.35">
      <c r="B110" s="16" t="s">
        <v>17</v>
      </c>
      <c r="C110" s="2">
        <v>820</v>
      </c>
      <c r="E110" s="16" t="s">
        <v>80</v>
      </c>
      <c r="F110" s="2">
        <v>2240</v>
      </c>
      <c r="H110" s="33">
        <v>60</v>
      </c>
      <c r="I110" s="2">
        <v>3240</v>
      </c>
      <c r="J110" s="35">
        <v>54</v>
      </c>
      <c r="K110" s="2">
        <v>60</v>
      </c>
      <c r="M110" s="15" t="s">
        <v>70</v>
      </c>
      <c r="N110" t="s">
        <v>88</v>
      </c>
    </row>
    <row r="111" spans="2:19" x14ac:dyDescent="0.35">
      <c r="B111" s="16" t="s">
        <v>45</v>
      </c>
      <c r="C111" s="2">
        <v>800</v>
      </c>
      <c r="E111" s="16" t="s">
        <v>81</v>
      </c>
      <c r="F111" s="2">
        <v>2220</v>
      </c>
      <c r="H111" s="34" t="s">
        <v>10</v>
      </c>
      <c r="I111" s="2">
        <v>3240</v>
      </c>
      <c r="J111" s="35">
        <v>54</v>
      </c>
      <c r="K111" s="2">
        <v>60</v>
      </c>
      <c r="M111" s="16" t="s">
        <v>14</v>
      </c>
      <c r="N111" s="35">
        <v>65</v>
      </c>
    </row>
    <row r="112" spans="2:19" x14ac:dyDescent="0.35">
      <c r="B112" s="16" t="s">
        <v>57</v>
      </c>
      <c r="C112" s="2">
        <v>800</v>
      </c>
      <c r="E112" s="16" t="s">
        <v>82</v>
      </c>
      <c r="F112" s="2">
        <v>1980</v>
      </c>
      <c r="H112" s="33">
        <v>70</v>
      </c>
      <c r="I112" s="2">
        <v>4480</v>
      </c>
      <c r="J112" s="35">
        <v>64</v>
      </c>
      <c r="K112" s="2">
        <v>70</v>
      </c>
      <c r="M112" s="16" t="s">
        <v>18</v>
      </c>
      <c r="N112" s="35">
        <v>64</v>
      </c>
    </row>
    <row r="113" spans="2:14" x14ac:dyDescent="0.35">
      <c r="B113" s="16" t="s">
        <v>25</v>
      </c>
      <c r="C113" s="2">
        <v>760</v>
      </c>
      <c r="E113" s="16" t="s">
        <v>83</v>
      </c>
      <c r="F113" s="2">
        <v>29080</v>
      </c>
      <c r="H113" s="34" t="s">
        <v>18</v>
      </c>
      <c r="I113" s="2">
        <v>4480</v>
      </c>
      <c r="J113" s="35">
        <v>64</v>
      </c>
      <c r="K113" s="2">
        <v>70</v>
      </c>
      <c r="M113" s="16" t="s">
        <v>6</v>
      </c>
      <c r="N113" s="35">
        <v>60</v>
      </c>
    </row>
    <row r="114" spans="2:14" x14ac:dyDescent="0.35">
      <c r="B114" s="16" t="s">
        <v>27</v>
      </c>
      <c r="C114" s="2">
        <v>740</v>
      </c>
      <c r="H114" s="33">
        <v>80</v>
      </c>
      <c r="I114" s="2">
        <v>4560</v>
      </c>
      <c r="J114" s="35">
        <v>57</v>
      </c>
      <c r="K114" s="2">
        <v>80</v>
      </c>
      <c r="M114" s="16" t="s">
        <v>28</v>
      </c>
      <c r="N114" s="35">
        <v>57</v>
      </c>
    </row>
    <row r="115" spans="2:14" x14ac:dyDescent="0.35">
      <c r="B115" s="16" t="s">
        <v>29</v>
      </c>
      <c r="C115" s="2">
        <v>720</v>
      </c>
      <c r="H115" s="34" t="s">
        <v>28</v>
      </c>
      <c r="I115" s="2">
        <v>4560</v>
      </c>
      <c r="J115" s="35">
        <v>57</v>
      </c>
      <c r="K115" s="2">
        <v>80</v>
      </c>
      <c r="M115" s="16" t="s">
        <v>10</v>
      </c>
      <c r="N115" s="35">
        <v>54</v>
      </c>
    </row>
    <row r="116" spans="2:14" x14ac:dyDescent="0.35">
      <c r="B116" s="16" t="s">
        <v>55</v>
      </c>
      <c r="C116" s="2">
        <v>710</v>
      </c>
      <c r="H116" s="33">
        <v>120</v>
      </c>
      <c r="I116" s="2">
        <v>7800</v>
      </c>
      <c r="J116" s="35">
        <v>65</v>
      </c>
      <c r="K116" s="2">
        <v>120</v>
      </c>
      <c r="M116" s="16" t="s">
        <v>83</v>
      </c>
      <c r="N116" s="35">
        <v>300</v>
      </c>
    </row>
    <row r="117" spans="2:14" x14ac:dyDescent="0.35">
      <c r="B117" s="16" t="s">
        <v>22</v>
      </c>
      <c r="C117" s="2">
        <v>680</v>
      </c>
      <c r="H117" s="34" t="s">
        <v>14</v>
      </c>
      <c r="I117" s="2">
        <v>7800</v>
      </c>
      <c r="J117" s="35">
        <v>65</v>
      </c>
      <c r="K117" s="2">
        <v>120</v>
      </c>
    </row>
    <row r="118" spans="2:14" x14ac:dyDescent="0.35">
      <c r="B118" s="16" t="s">
        <v>35</v>
      </c>
      <c r="C118" s="2">
        <v>610</v>
      </c>
      <c r="H118" s="33">
        <v>150</v>
      </c>
      <c r="I118" s="2">
        <v>9000</v>
      </c>
      <c r="J118" s="35">
        <v>60</v>
      </c>
      <c r="K118" s="2">
        <v>150</v>
      </c>
    </row>
    <row r="119" spans="2:14" x14ac:dyDescent="0.35">
      <c r="B119" s="16" t="s">
        <v>52</v>
      </c>
      <c r="C119" s="2">
        <v>600</v>
      </c>
      <c r="H119" s="34" t="s">
        <v>6</v>
      </c>
      <c r="I119" s="2">
        <v>9000</v>
      </c>
      <c r="J119" s="35">
        <v>60</v>
      </c>
      <c r="K119" s="2">
        <v>150</v>
      </c>
    </row>
    <row r="120" spans="2:14" x14ac:dyDescent="0.35">
      <c r="B120" s="16" t="s">
        <v>38</v>
      </c>
      <c r="C120" s="2">
        <v>590</v>
      </c>
      <c r="H120" s="33" t="s">
        <v>83</v>
      </c>
      <c r="I120" s="2">
        <v>29080</v>
      </c>
      <c r="J120" s="35">
        <v>300</v>
      </c>
      <c r="K120" s="2">
        <v>96.933333333333337</v>
      </c>
    </row>
    <row r="121" spans="2:14" x14ac:dyDescent="0.35">
      <c r="B121" s="16" t="s">
        <v>53</v>
      </c>
      <c r="C121" s="2">
        <v>580</v>
      </c>
      <c r="M121" s="15" t="s">
        <v>70</v>
      </c>
      <c r="N121" t="s">
        <v>90</v>
      </c>
    </row>
    <row r="122" spans="2:14" x14ac:dyDescent="0.35">
      <c r="B122" s="16" t="s">
        <v>24</v>
      </c>
      <c r="C122" s="2">
        <v>550</v>
      </c>
      <c r="M122" s="16" t="s">
        <v>19</v>
      </c>
      <c r="N122" s="35">
        <v>71</v>
      </c>
    </row>
    <row r="123" spans="2:14" x14ac:dyDescent="0.35">
      <c r="B123" s="16" t="s">
        <v>62</v>
      </c>
      <c r="C123" s="2">
        <v>540</v>
      </c>
      <c r="M123" s="16" t="s">
        <v>7</v>
      </c>
      <c r="N123" s="35">
        <v>60</v>
      </c>
    </row>
    <row r="124" spans="2:14" x14ac:dyDescent="0.35">
      <c r="B124" s="16" t="s">
        <v>36</v>
      </c>
      <c r="C124" s="2">
        <v>540</v>
      </c>
      <c r="M124" s="16" t="s">
        <v>15</v>
      </c>
      <c r="N124" s="35">
        <v>59</v>
      </c>
    </row>
    <row r="125" spans="2:14" x14ac:dyDescent="0.35">
      <c r="B125" s="16" t="s">
        <v>30</v>
      </c>
      <c r="C125" s="2">
        <v>530</v>
      </c>
      <c r="M125" s="16" t="s">
        <v>11</v>
      </c>
      <c r="N125" s="35">
        <v>56</v>
      </c>
    </row>
    <row r="126" spans="2:14" x14ac:dyDescent="0.35">
      <c r="B126" s="16" t="s">
        <v>50</v>
      </c>
      <c r="C126" s="2">
        <v>520</v>
      </c>
      <c r="M126" s="16" t="s">
        <v>21</v>
      </c>
      <c r="N126" s="35">
        <v>54</v>
      </c>
    </row>
    <row r="127" spans="2:14" x14ac:dyDescent="0.35">
      <c r="B127" s="16" t="s">
        <v>34</v>
      </c>
      <c r="C127" s="2">
        <v>520</v>
      </c>
      <c r="M127" s="16" t="s">
        <v>83</v>
      </c>
      <c r="N127" s="35">
        <v>300</v>
      </c>
    </row>
    <row r="128" spans="2:14" x14ac:dyDescent="0.35">
      <c r="B128" s="16" t="s">
        <v>44</v>
      </c>
      <c r="C128" s="2">
        <v>520</v>
      </c>
    </row>
    <row r="129" spans="2:3" x14ac:dyDescent="0.35">
      <c r="B129" s="16" t="s">
        <v>26</v>
      </c>
      <c r="C129" s="2">
        <v>490</v>
      </c>
    </row>
    <row r="130" spans="2:3" x14ac:dyDescent="0.35">
      <c r="B130" s="16" t="s">
        <v>63</v>
      </c>
      <c r="C130" s="2">
        <v>480</v>
      </c>
    </row>
    <row r="131" spans="2:3" x14ac:dyDescent="0.35">
      <c r="B131" s="16" t="s">
        <v>46</v>
      </c>
      <c r="C131" s="2">
        <v>480</v>
      </c>
    </row>
    <row r="132" spans="2:3" x14ac:dyDescent="0.35">
      <c r="B132" s="16" t="s">
        <v>49</v>
      </c>
      <c r="C132" s="2">
        <v>480</v>
      </c>
    </row>
    <row r="133" spans="2:3" x14ac:dyDescent="0.35">
      <c r="B133" s="16" t="s">
        <v>23</v>
      </c>
      <c r="C133" s="2">
        <v>470</v>
      </c>
    </row>
    <row r="134" spans="2:3" x14ac:dyDescent="0.35">
      <c r="B134" s="16" t="s">
        <v>56</v>
      </c>
      <c r="C134" s="2">
        <v>470</v>
      </c>
    </row>
    <row r="135" spans="2:3" x14ac:dyDescent="0.35">
      <c r="B135" s="16" t="s">
        <v>51</v>
      </c>
      <c r="C135" s="2">
        <v>440</v>
      </c>
    </row>
    <row r="136" spans="2:3" x14ac:dyDescent="0.35">
      <c r="B136" s="16" t="s">
        <v>61</v>
      </c>
      <c r="C136" s="2">
        <v>420</v>
      </c>
    </row>
    <row r="137" spans="2:3" x14ac:dyDescent="0.35">
      <c r="B137" s="16" t="s">
        <v>64</v>
      </c>
      <c r="C137" s="2">
        <v>420</v>
      </c>
    </row>
    <row r="138" spans="2:3" x14ac:dyDescent="0.35">
      <c r="B138" s="16" t="s">
        <v>33</v>
      </c>
      <c r="C138" s="2">
        <v>420</v>
      </c>
    </row>
    <row r="139" spans="2:3" x14ac:dyDescent="0.35">
      <c r="B139" s="16" t="s">
        <v>65</v>
      </c>
      <c r="C139" s="2">
        <v>390</v>
      </c>
    </row>
    <row r="140" spans="2:3" x14ac:dyDescent="0.35">
      <c r="B140" s="16" t="s">
        <v>5</v>
      </c>
      <c r="C140" s="2">
        <v>390</v>
      </c>
    </row>
    <row r="141" spans="2:3" x14ac:dyDescent="0.35">
      <c r="B141" s="16" t="s">
        <v>60</v>
      </c>
      <c r="C141" s="2">
        <v>370</v>
      </c>
    </row>
    <row r="142" spans="2:3" x14ac:dyDescent="0.35">
      <c r="B142" s="16" t="s">
        <v>13</v>
      </c>
      <c r="C142" s="2">
        <v>350</v>
      </c>
    </row>
    <row r="143" spans="2:3" x14ac:dyDescent="0.35">
      <c r="B143" s="16" t="s">
        <v>47</v>
      </c>
      <c r="C143" s="2">
        <v>350</v>
      </c>
    </row>
    <row r="144" spans="2:3" x14ac:dyDescent="0.35">
      <c r="B144" s="16" t="s">
        <v>39</v>
      </c>
      <c r="C144" s="2">
        <v>340</v>
      </c>
    </row>
    <row r="145" spans="2:3" x14ac:dyDescent="0.35">
      <c r="B145" s="16" t="s">
        <v>42</v>
      </c>
      <c r="C145" s="2">
        <v>270</v>
      </c>
    </row>
    <row r="146" spans="2:3" x14ac:dyDescent="0.35">
      <c r="B146" s="16" t="s">
        <v>9</v>
      </c>
      <c r="C146" s="2">
        <v>270</v>
      </c>
    </row>
    <row r="147" spans="2:3" x14ac:dyDescent="0.35">
      <c r="B147" s="16" t="s">
        <v>54</v>
      </c>
      <c r="C147" s="2">
        <v>190</v>
      </c>
    </row>
    <row r="148" spans="2:3" x14ac:dyDescent="0.35">
      <c r="B148" s="16" t="s">
        <v>59</v>
      </c>
      <c r="C148" s="2">
        <v>140</v>
      </c>
    </row>
    <row r="149" spans="2:3" x14ac:dyDescent="0.35">
      <c r="B149" s="16" t="s">
        <v>83</v>
      </c>
      <c r="C149" s="2">
        <v>29080</v>
      </c>
    </row>
  </sheetData>
  <mergeCells count="3">
    <mergeCell ref="A4:F4"/>
    <mergeCell ref="A2:I2"/>
    <mergeCell ref="A3:I3"/>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Brand New Mobile Details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Lewis Placide</cp:lastModifiedBy>
  <cp:lastPrinted>2025-11-14T05:21:38Z</cp:lastPrinted>
  <dcterms:created xsi:type="dcterms:W3CDTF">2025-11-13T04:18:50Z</dcterms:created>
  <dcterms:modified xsi:type="dcterms:W3CDTF">2025-11-16T04:26:15Z</dcterms:modified>
</cp:coreProperties>
</file>